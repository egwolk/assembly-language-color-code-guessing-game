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mc:AlternateContent xmlns:mc="http://schemas.openxmlformats.org/markup-compatibility/2006">
    <mc:Choice Requires="x15">
      <x15ac:absPath xmlns:x15ac="http://schemas.microsoft.com/office/spreadsheetml/2010/11/ac" url="C:\Users\HP\Documents\PortableGit\assembly-language-color-code-guessing-game\"/>
    </mc:Choice>
  </mc:AlternateContent>
  <xr:revisionPtr revIDLastSave="0" documentId="13_ncr:1_{7151C238-8B69-466F-B6E1-E4F87E4E794E}" xr6:coauthVersionLast="47" xr6:coauthVersionMax="47" xr10:uidLastSave="{00000000-0000-0000-0000-000000000000}"/>
  <bookViews>
    <workbookView xWindow="-120" yWindow="-120" windowWidth="20730" windowHeight="11760" xr2:uid="{00000000-000D-0000-FFFF-FFFF00000000}"/>
  </bookViews>
  <sheets>
    <sheet name="Gantt Chart" sheetId="11" r:id="rId1"/>
    <sheet name="About" sheetId="12" r:id="rId2"/>
  </sheets>
  <definedNames>
    <definedName name="_xlnm.Print_Area" localSheetId="0">'Gantt Chart'!$1:$45</definedName>
    <definedName name="_xlnm.Print_Titles" localSheetId="0">'Gantt Chart'!$4:$6</definedName>
    <definedName name="task_end" localSheetId="0">'Gantt Chart'!$F1</definedName>
    <definedName name="task_progress" localSheetId="0">'Gantt Chart'!$D1</definedName>
    <definedName name="task_start" localSheetId="0">'Gantt Chart'!$E1</definedName>
    <definedName name="today" localSheetId="0">'Gantt Chart'!$E$3</definedName>
    <definedName name="valuevx">42.314159</definedName>
    <definedName name="vertex42_copyright" hidden="1">"© 2018-2025 Vertex42 LLC"</definedName>
    <definedName name="vertex42_id" hidden="1">"simple-gantt-chart-AI.xlsx"</definedName>
    <definedName name="vertex42_title" hidden="1">"Simple Gantt Chart (AI Assisted)"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 i="11" l="1"/>
  <c r="H34" i="11"/>
  <c r="E3" i="11"/>
  <c r="H9" i="11" l="1"/>
  <c r="H8" i="11"/>
  <c r="H10" i="11"/>
  <c r="H13" i="11"/>
  <c r="H15" i="11"/>
  <c r="H16" i="11"/>
  <c r="H17" i="11"/>
  <c r="H18" i="11"/>
  <c r="H21" i="11"/>
  <c r="H22" i="11"/>
  <c r="H23" i="11"/>
  <c r="H24" i="11"/>
  <c r="H25" i="11"/>
  <c r="H26" i="11"/>
  <c r="H27" i="11"/>
  <c r="H28" i="11"/>
  <c r="H29" i="11"/>
  <c r="H30" i="11"/>
  <c r="H31" i="11"/>
  <c r="H32" i="11"/>
  <c r="H33" i="11"/>
  <c r="H35" i="11"/>
  <c r="I5" i="11" l="1"/>
  <c r="I4" i="11" s="1"/>
  <c r="B13" i="12"/>
  <c r="H45" i="11" l="1"/>
  <c r="H7" i="11"/>
  <c r="I6" i="11" l="1"/>
  <c r="J5" i="11" l="1"/>
  <c r="K5" i="11" s="1"/>
  <c r="L5" i="11" s="1"/>
  <c r="M5" i="11" s="1"/>
  <c r="N5" i="11" s="1"/>
  <c r="O5" i="11" s="1"/>
  <c r="P5" i="11" s="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N5" i="11" l="1"/>
  <c r="BM6" i="11"/>
  <c r="BM4" i="11"/>
  <c r="BL6" i="11"/>
  <c r="AG6" i="11"/>
  <c r="BO5" i="11" l="1"/>
  <c r="BN6" i="11"/>
  <c r="AH6" i="11"/>
  <c r="BP5" i="11" l="1"/>
  <c r="BO6" i="11"/>
  <c r="AI6" i="11"/>
  <c r="BP6" i="11" l="1"/>
  <c r="BQ5" i="11"/>
  <c r="AJ6" i="11"/>
  <c r="BR5" i="11" l="1"/>
  <c r="BQ6" i="11"/>
  <c r="AK6" i="11"/>
  <c r="BR6" i="11" l="1"/>
  <c r="BS5" i="11"/>
  <c r="AL6" i="11"/>
  <c r="BS6" i="11" l="1"/>
  <c r="BT5" i="11"/>
  <c r="AM6" i="11"/>
  <c r="BU5" i="11" l="1"/>
  <c r="BT6" i="11"/>
  <c r="BT4" i="11"/>
  <c r="AN6" i="11"/>
  <c r="BV5" i="11" l="1"/>
  <c r="BU6" i="11"/>
  <c r="AO6" i="11"/>
  <c r="BW5" i="11" l="1"/>
  <c r="BV6" i="11"/>
  <c r="AP6" i="11"/>
  <c r="BW6" i="11" l="1"/>
  <c r="BX5" i="11"/>
  <c r="AQ6" i="11"/>
  <c r="BY5" i="11" l="1"/>
  <c r="BX6" i="11"/>
  <c r="AR6" i="11"/>
  <c r="BY6" i="11" l="1"/>
  <c r="BZ5" i="11"/>
  <c r="BZ6" i="11" l="1"/>
  <c r="CA5" i="11"/>
  <c r="CB5" i="11" l="1"/>
  <c r="CA6" i="11"/>
  <c r="CA4" i="11"/>
  <c r="CC5" i="11" l="1"/>
  <c r="CB6" i="11"/>
  <c r="CD5" i="11" l="1"/>
  <c r="CC6" i="11"/>
  <c r="CE5" i="11" l="1"/>
  <c r="CD6" i="11"/>
  <c r="CE6" i="11" l="1"/>
  <c r="CF5" i="11"/>
  <c r="CF6" i="11" l="1"/>
  <c r="CG5" i="11"/>
  <c r="CG6" i="11" l="1"/>
  <c r="CH5" i="11"/>
  <c r="CI5" i="11" l="1"/>
  <c r="CH4" i="11"/>
  <c r="CH6" i="11"/>
  <c r="CJ5" i="11" l="1"/>
  <c r="CI6" i="11"/>
  <c r="CK5" i="11" l="1"/>
  <c r="CJ6" i="11"/>
  <c r="CK6" i="11" l="1"/>
  <c r="CL5" i="11"/>
  <c r="CM5" i="11" l="1"/>
  <c r="CL6" i="11"/>
  <c r="CN5" i="11" l="1"/>
  <c r="CM6" i="11"/>
  <c r="CN6" i="11" l="1"/>
  <c r="CO5" i="11"/>
  <c r="CO6" i="11" l="1"/>
  <c r="CO4" i="11"/>
  <c r="CP5" i="11"/>
  <c r="CP6" i="11" l="1"/>
  <c r="CQ5" i="11"/>
  <c r="CQ6" i="11" l="1"/>
  <c r="CR5" i="11"/>
  <c r="CS5" i="11" l="1"/>
  <c r="CR6" i="11"/>
  <c r="CT5" i="11" l="1"/>
  <c r="CS6" i="11"/>
  <c r="CU5" i="11" l="1"/>
  <c r="CT6" i="11"/>
  <c r="CU6" i="11" l="1"/>
  <c r="CV5" i="11"/>
  <c r="CV4" i="11" l="1"/>
  <c r="CV6" i="11"/>
  <c r="CW5" i="11"/>
  <c r="CW6" i="11" l="1"/>
  <c r="CX5" i="11"/>
  <c r="CX6" i="11" l="1"/>
  <c r="CY5" i="11"/>
  <c r="CZ5" i="11" l="1"/>
  <c r="CY6" i="11"/>
  <c r="DA5" i="11" l="1"/>
  <c r="CZ6" i="11"/>
  <c r="DB5" i="11" l="1"/>
  <c r="DA6" i="11"/>
  <c r="DB6" i="11" l="1"/>
  <c r="DC5" i="11"/>
  <c r="DD5" i="11" l="1"/>
  <c r="DC6" i="11"/>
  <c r="DC4" i="11"/>
  <c r="DE5" i="11" l="1"/>
  <c r="DD6" i="11"/>
  <c r="DF5" i="11" l="1"/>
  <c r="DE6" i="11"/>
  <c r="DG5" i="11" l="1"/>
  <c r="DF6" i="11"/>
  <c r="DH5" i="11" l="1"/>
  <c r="DG6" i="11"/>
  <c r="DH6" i="11" l="1"/>
  <c r="DI5" i="11"/>
  <c r="DI6" i="11" l="1"/>
  <c r="DJ5" i="11"/>
  <c r="DJ4" i="11" l="1"/>
  <c r="DJ6" i="11"/>
  <c r="DK5" i="11"/>
  <c r="DL5" i="11" l="1"/>
  <c r="DK6" i="11"/>
  <c r="DL6" i="11" l="1"/>
  <c r="DM5" i="11"/>
  <c r="DM6" i="11" l="1"/>
  <c r="DN5" i="11"/>
  <c r="DO5" i="11" l="1"/>
  <c r="DN6" i="11"/>
  <c r="DO6" i="11" l="1"/>
  <c r="DP5" i="11"/>
  <c r="DP6" i="11" l="1"/>
  <c r="DQ5" i="11"/>
  <c r="DQ6" i="11" l="1"/>
  <c r="DR5" i="11"/>
  <c r="DQ4" i="11"/>
  <c r="DR6" i="11" l="1"/>
  <c r="DS5" i="11"/>
  <c r="DS6" i="11" l="1"/>
  <c r="DT5" i="11"/>
  <c r="DU5" i="11" l="1"/>
  <c r="DT6" i="11"/>
  <c r="DV5" i="11" l="1"/>
  <c r="DU6" i="11"/>
  <c r="DW5" i="11" l="1"/>
  <c r="DV6" i="11"/>
  <c r="DW6" i="11" l="1"/>
  <c r="DX5" i="11"/>
  <c r="DY5" i="11" l="1"/>
  <c r="DX6" i="11"/>
  <c r="DX4" i="11"/>
  <c r="DZ5" i="11" l="1"/>
  <c r="DY6" i="11"/>
  <c r="DZ6" i="11" l="1"/>
  <c r="EA5" i="11"/>
  <c r="EB5" i="11" l="1"/>
  <c r="EA6" i="11"/>
  <c r="EB6" i="11" l="1"/>
  <c r="EC5" i="11"/>
  <c r="EC6" i="11" l="1"/>
  <c r="ED5" i="11"/>
  <c r="ED6" i="11" l="1"/>
  <c r="EE5" i="11"/>
  <c r="EF5" i="11" l="1"/>
  <c r="EE4" i="11"/>
  <c r="EE6" i="11"/>
  <c r="EG5" i="11" l="1"/>
  <c r="EF6" i="11"/>
  <c r="EG6" i="11" l="1"/>
  <c r="EH5" i="11"/>
  <c r="EH6" i="11" l="1"/>
  <c r="EI5" i="11"/>
  <c r="EJ5" i="11" l="1"/>
  <c r="EI6" i="11"/>
  <c r="EK5" i="11" l="1"/>
  <c r="EK6" i="11" s="1"/>
  <c r="EJ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<sst xmlns="http://schemas.openxmlformats.org/spreadsheetml/2006/main" count="89" uniqueCount="66">
  <si>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</si>
  <si>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</si>
  <si>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</si>
  <si>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</si>
  <si>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</si>
  <si>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</si>
  <si>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</si>
  <si>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</si>
  <si>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</si>
  <si>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</si>
  <si>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</si>
  <si>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</si>
  <si>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</si>
  <si>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</si>
  <si>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</si>
  <si>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</si>
  <si>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</si>
  <si>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</si>
  <si>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</si>
  <si>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</si>
  <si>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</si>
  <si>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</si>
  <si>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xml:space="preserve"> </t>
  </si>
  <si>
    <t>© 2018-2025 Vertex42 LLC</t>
  </si>
  <si>
    <t>Vertex42.com provides over 400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</si>
  <si>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Erin Covacha</t>
  </si>
  <si>
    <t>All</t>
  </si>
  <si>
    <t>Project Leader: Erin Drew Covacha</t>
  </si>
  <si>
    <t>CMARCH1-IAC1</t>
  </si>
  <si>
    <t>GROUP 5</t>
  </si>
  <si>
    <t>Create Gantt chart</t>
  </si>
  <si>
    <t>Rubric Review</t>
  </si>
  <si>
    <t>Task Distribution</t>
  </si>
  <si>
    <t xml:space="preserve">Project Planning &amp; Design					</t>
  </si>
  <si>
    <t>Set up ASM dev environment</t>
  </si>
  <si>
    <t>Set up Git Repository</t>
  </si>
  <si>
    <t>Draft flowchart</t>
  </si>
  <si>
    <t xml:space="preserve">Core Input System					</t>
  </si>
  <si>
    <t>Player 1 (Code Setting)</t>
  </si>
  <si>
    <t>Player 2 (Guessing Input)</t>
  </si>
  <si>
    <t>Feedback Mechanism (Place &amp; Color)</t>
  </si>
  <si>
    <t>Integration and Testing</t>
  </si>
  <si>
    <t>Game Logic + UX/UI</t>
  </si>
  <si>
    <t>Track guesses and limits</t>
  </si>
  <si>
    <t>Set up Lose and Win Conditions</t>
  </si>
  <si>
    <t>Set Win/Lose and instruction msg s</t>
  </si>
  <si>
    <t xml:space="preserve">Add comments </t>
  </si>
  <si>
    <t>QA (LOOP, JXX, etc.)</t>
  </si>
  <si>
    <t>Testing and Debugging</t>
  </si>
  <si>
    <t>Egde  case testing</t>
  </si>
  <si>
    <t>Track and fix erro/bugs</t>
  </si>
  <si>
    <t>Originality Review (Glaze the group?)</t>
  </si>
  <si>
    <t>Verify exe file runnablility</t>
  </si>
  <si>
    <t>Report Writing and final Review</t>
  </si>
  <si>
    <t>Introduction and Design</t>
  </si>
  <si>
    <t>Implementation and testing</t>
  </si>
  <si>
    <t>Individual Contributions</t>
  </si>
  <si>
    <t>Code Review</t>
  </si>
  <si>
    <t>Presentation</t>
  </si>
  <si>
    <t>Presentation Demo</t>
  </si>
  <si>
    <t>Stephen Robles</t>
  </si>
  <si>
    <t>William Ragel</t>
  </si>
  <si>
    <t>Khen Vicente</t>
  </si>
  <si>
    <t>Document implementations</t>
  </si>
  <si>
    <t>Stephen Robles, Khen Vicente</t>
  </si>
  <si>
    <t>Final Submission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</si>
</sst>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
      <sz val="10"/>
      <color rgb="FF000000"/>
      <name val="Arial"/>
      <family val="2"/>
    </font>
    <font>
      <b/>
      <sz val="22"/>
      <color theme="4" tint="-0.249977111117893"/>
      <name val="Calibri"/>
      <family val="2"/>
      <scheme val="major"/>
    </font>
    <font>
      <sz val="14"/>
      <color theme="4" tint="-0.249977111117893"/>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4" tint="-0.249977111117893"/>
        <bgColor theme="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tint="-0.249977111117893"/>
        <bgColor indexed="64"/>
      </patternFill>
    </fill>
  </fills>
  <borders count="12">
    <border>
      <left/>
      <right/>
      <top/>
      <bottom/>
      <diagonal/>
    </border>
    <border>
      <left/>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indexed="64"/>
      </left>
      <right style="thin">
        <color indexed="64"/>
      </right>
      <top style="thin">
        <color theme="0" tint="-0.34998626667073579"/>
      </top>
      <bottom style="thin">
        <color indexed="64"/>
      </bottom>
      <diagonal/>
    </border>
    <border>
      <left style="thin">
        <color theme="0" tint="-0.499984740745262"/>
      </left>
      <right style="thin">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24994659260841701"/>
      </top>
      <bottom style="thin">
        <color theme="0" tint="-0.24994659260841701"/>
      </bottom>
      <diagonal/>
    </border>
    <border>
      <left style="thin">
        <color theme="0" tint="-0.34998626667073579"/>
      </left>
      <right style="thin">
        <color theme="0" tint="-0.34998626667073579"/>
      </right>
      <top/>
      <bottom/>
      <diagonal/>
    </border>
    <border>
      <left style="thin">
        <color theme="0" tint="-0.14993743705557422"/>
      </left>
      <right style="thin">
        <color theme="0" tint="-0.14993743705557422"/>
      </right>
      <top style="thin">
        <color theme="0" tint="-0.24994659260841701"/>
      </top>
      <bottom style="thin">
        <color theme="0" tint="-0.24994659260841701"/>
      </bottom>
      <diagonal/>
    </border>
  </borders>
  <cellStyleXfs count="8">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xf numFmtId="0" fontId="10" fillId="0" borderId="0"/>
    <xf numFmtId="0" fontId="10" fillId="0" borderId="0"/>
    <xf numFmtId="0" fontId="28" fillId="0" borderId="0"/>
    <xf numFmtId="0" fontId="10" fillId="0" borderId="0"/>
    <xf numFmtId="0" fontId="10" fillId="0" borderId="0"/>
  </cellStyleXfs>
  <cellXfs count="67">
    <xf numFmtId="0" fontId="0" fillId="0" borderId="0" xfId="0"/>
    <xf numFmtId="0" fontId="2" fillId="0" borderId="0" xfId="0" applyFont="1"/>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9" fillId="0" borderId="0" xfId="0" applyFont="1" applyAlignment="1">
      <alignment vertical="center"/>
    </xf>
    <xf numFmtId="0" fontId="15" fillId="0" borderId="0" xfId="0" applyFont="1"/>
    <xf numFmtId="0" fontId="17" fillId="0" borderId="0" xfId="0" applyFont="1" applyAlignment="1">
      <alignment horizontal="right" vertical="center"/>
    </xf>
    <xf numFmtId="0" fontId="2" fillId="0" borderId="0" xfId="0" applyFont="1" applyAlignment="1">
      <alignment vertical="top"/>
    </xf>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applyAlignment="1">
      <alignment vertical="center"/>
    </xf>
    <xf numFmtId="0" fontId="2" fillId="0" borderId="0" xfId="0" applyFont="1" applyAlignment="1">
      <alignment horizontal="left" vertical="center"/>
    </xf>
    <xf numFmtId="0" fontId="21" fillId="0" borderId="0" xfId="0" applyFont="1"/>
    <xf numFmtId="0" fontId="22" fillId="0" borderId="0" xfId="0" applyFont="1" applyAlignment="1">
      <alignment vertical="top" wrapText="1"/>
    </xf>
    <xf numFmtId="0" fontId="23" fillId="0" borderId="0" xfId="0" applyFont="1" applyAlignment="1">
      <alignment vertical="center"/>
    </xf>
    <xf numFmtId="0" fontId="22" fillId="0" borderId="0" xfId="0" applyFont="1" applyAlignment="1">
      <alignment horizontal="left" vertical="top" wrapText="1" indent="1"/>
    </xf>
    <xf numFmtId="0" fontId="3" fillId="0" borderId="0" xfId="1" applyAlignment="1" applyProtection="1">
      <alignment horizontal="left" indent="1"/>
    </xf>
    <xf numFmtId="14" fontId="24" fillId="0" borderId="0" xfId="0" applyNumberFormat="1" applyFont="1" applyAlignment="1">
      <alignment horizontal="center"/>
    </xf>
    <xf numFmtId="0" fontId="2" fillId="0" borderId="0" xfId="0" applyFont="1" applyAlignment="1">
      <alignment horizontal="right" vertical="center"/>
    </xf>
    <xf numFmtId="0" fontId="25" fillId="0" borderId="0" xfId="0" applyFont="1" applyAlignment="1">
      <alignment vertical="top"/>
    </xf>
    <xf numFmtId="0" fontId="26" fillId="0" borderId="0" xfId="0" applyFont="1"/>
    <xf numFmtId="0" fontId="26" fillId="0" borderId="0" xfId="1" applyFont="1" applyAlignment="1" applyProtection="1"/>
    <xf numFmtId="0" fontId="3" fillId="0" borderId="0" xfId="1" applyFill="1" applyAlignment="1" applyProtection="1">
      <alignment horizontal="left" indent="1"/>
    </xf>
    <xf numFmtId="0" fontId="0" fillId="0" borderId="6" xfId="0" applyBorder="1" applyAlignment="1">
      <alignment horizontal="center" vertical="center"/>
    </xf>
    <xf numFmtId="165" fontId="0" fillId="0" borderId="7" xfId="0" applyNumberFormat="1" applyBorder="1" applyAlignment="1">
      <alignment horizontal="centerContinuous" vertical="center"/>
    </xf>
    <xf numFmtId="165" fontId="0" fillId="0" borderId="8" xfId="0" applyNumberFormat="1" applyBorder="1" applyAlignment="1">
      <alignment horizontal="centerContinuous" vertical="center"/>
    </xf>
    <xf numFmtId="0" fontId="7" fillId="3" borderId="1" xfId="0" applyFont="1" applyFill="1" applyBorder="1" applyAlignment="1">
      <alignment horizontal="left" vertical="center" indent="1"/>
    </xf>
    <xf numFmtId="0" fontId="7" fillId="3" borderId="1" xfId="0" applyFont="1" applyFill="1" applyBorder="1" applyAlignment="1">
      <alignment horizontal="center" vertical="center" wrapText="1"/>
    </xf>
    <xf numFmtId="167" fontId="11" fillId="5" borderId="4" xfId="0" applyNumberFormat="1" applyFont="1" applyFill="1" applyBorder="1" applyAlignment="1">
      <alignment horizontal="center" vertical="center"/>
    </xf>
    <xf numFmtId="167" fontId="11" fillId="5" borderId="0" xfId="0" applyNumberFormat="1" applyFont="1" applyFill="1" applyAlignment="1">
      <alignment horizontal="center" vertical="center"/>
    </xf>
    <xf numFmtId="167" fontId="11" fillId="5" borderId="5" xfId="0" applyNumberFormat="1" applyFont="1" applyFill="1" applyBorder="1" applyAlignment="1">
      <alignment horizontal="center" vertical="center"/>
    </xf>
    <xf numFmtId="0" fontId="29" fillId="0" borderId="0" xfId="0" applyFont="1" applyAlignment="1">
      <alignment horizontal="left"/>
    </xf>
    <xf numFmtId="0" fontId="30" fillId="0" borderId="0" xfId="0" applyFont="1"/>
    <xf numFmtId="0" fontId="6" fillId="0" borderId="0" xfId="0" applyFont="1" applyAlignment="1">
      <alignment horizontal="right" vertical="center"/>
    </xf>
    <xf numFmtId="0" fontId="14" fillId="4" borderId="10" xfId="0" applyFont="1" applyFill="1" applyBorder="1" applyAlignment="1">
      <alignment horizontal="center" vertical="center" shrinkToFit="1"/>
    </xf>
    <xf numFmtId="0" fontId="0" fillId="0" borderId="9" xfId="0" applyBorder="1" applyAlignment="1">
      <alignment horizontal="left" vertical="center" indent="1"/>
    </xf>
    <xf numFmtId="9" fontId="5" fillId="0" borderId="9" xfId="2" applyFont="1" applyFill="1" applyBorder="1" applyAlignment="1">
      <alignment horizontal="center" vertical="center"/>
    </xf>
    <xf numFmtId="164" fontId="0" fillId="0" borderId="9" xfId="0" applyNumberFormat="1" applyBorder="1" applyAlignment="1">
      <alignment horizontal="center" vertical="center"/>
    </xf>
    <xf numFmtId="164" fontId="5" fillId="0" borderId="9" xfId="0" applyNumberFormat="1" applyFont="1" applyBorder="1" applyAlignment="1">
      <alignment horizontal="center" vertical="center"/>
    </xf>
    <xf numFmtId="0" fontId="5" fillId="0" borderId="9" xfId="0" applyFont="1" applyBorder="1" applyAlignment="1">
      <alignment horizontal="center" vertical="center"/>
    </xf>
    <xf numFmtId="0" fontId="0" fillId="0" borderId="11" xfId="0" applyBorder="1" applyAlignment="1">
      <alignment vertical="center"/>
    </xf>
    <xf numFmtId="0" fontId="0" fillId="0" borderId="9" xfId="0" applyBorder="1" applyAlignment="1">
      <alignment vertical="center"/>
    </xf>
    <xf numFmtId="0" fontId="8" fillId="2" borderId="9" xfId="0" applyFont="1" applyFill="1" applyBorder="1" applyAlignment="1">
      <alignment horizontal="left" vertical="center" indent="1"/>
    </xf>
    <xf numFmtId="9" fontId="5" fillId="2" borderId="9" xfId="2" applyFont="1" applyFill="1" applyBorder="1" applyAlignment="1">
      <alignment horizontal="center" vertical="center"/>
    </xf>
    <xf numFmtId="164" fontId="4" fillId="2" borderId="9" xfId="0" applyNumberFormat="1" applyFont="1" applyFill="1" applyBorder="1" applyAlignment="1">
      <alignment horizontal="left" vertical="center"/>
    </xf>
    <xf numFmtId="164" fontId="5" fillId="2" borderId="9" xfId="0" applyNumberFormat="1" applyFont="1" applyFill="1" applyBorder="1" applyAlignment="1">
      <alignment horizontal="center" vertical="center"/>
    </xf>
    <xf numFmtId="0" fontId="5" fillId="2" borderId="9" xfId="0" applyFont="1" applyFill="1" applyBorder="1" applyAlignment="1">
      <alignment horizontal="center" vertical="center"/>
    </xf>
    <xf numFmtId="0" fontId="0" fillId="2" borderId="11" xfId="0" applyFill="1" applyBorder="1" applyAlignment="1">
      <alignment vertical="center"/>
    </xf>
    <xf numFmtId="0" fontId="6" fillId="6" borderId="9" xfId="0" applyFont="1" applyFill="1" applyBorder="1" applyAlignment="1">
      <alignment horizontal="left" vertical="center" indent="1"/>
    </xf>
    <xf numFmtId="9" fontId="5" fillId="6" borderId="9" xfId="2" applyFont="1" applyFill="1" applyBorder="1" applyAlignment="1">
      <alignment horizontal="center" vertical="center"/>
    </xf>
    <xf numFmtId="164" fontId="0" fillId="6" borderId="9" xfId="0" applyNumberFormat="1" applyFill="1" applyBorder="1" applyAlignment="1">
      <alignment horizontal="center" vertical="center"/>
    </xf>
    <xf numFmtId="164" fontId="5" fillId="6" borderId="9" xfId="0" applyNumberFormat="1" applyFont="1" applyFill="1" applyBorder="1" applyAlignment="1">
      <alignment horizontal="center" vertical="center"/>
    </xf>
    <xf numFmtId="0" fontId="5" fillId="6" borderId="9" xfId="0" applyFont="1" applyFill="1" applyBorder="1" applyAlignment="1">
      <alignment horizontal="center" vertical="center"/>
    </xf>
    <xf numFmtId="0" fontId="1" fillId="0" borderId="0" xfId="0" applyFont="1" applyAlignment="1">
      <alignment horizontal="left" wrapText="1"/>
    </xf>
    <xf numFmtId="0" fontId="0" fillId="0" borderId="0" xfId="0" applyAlignment="1">
      <alignment wrapText="1"/>
    </xf>
    <xf numFmtId="0" fontId="0" fillId="0" borderId="0" xfId="0" applyAlignment="1">
      <alignment vertical="center" wrapText="1"/>
    </xf>
    <xf numFmtId="0" fontId="0" fillId="0" borderId="9" xfId="0" applyBorder="1" applyAlignment="1">
      <alignment horizontal="center" vertical="center" wrapText="1"/>
    </xf>
    <xf numFmtId="0" fontId="0" fillId="6" borderId="9" xfId="0" applyFill="1" applyBorder="1" applyAlignment="1">
      <alignment horizontal="center" vertical="center" wrapText="1"/>
    </xf>
    <xf numFmtId="0" fontId="8" fillId="2" borderId="9" xfId="0" applyFont="1" applyFill="1" applyBorder="1" applyAlignment="1">
      <alignment horizontal="center" vertical="center" wrapText="1"/>
    </xf>
    <xf numFmtId="0" fontId="15" fillId="0" borderId="0" xfId="0" applyFont="1" applyAlignment="1">
      <alignment wrapText="1"/>
    </xf>
    <xf numFmtId="0" fontId="16" fillId="0" borderId="0" xfId="1" applyFont="1" applyAlignment="1" applyProtection="1">
      <alignment wrapText="1"/>
    </xf>
    <xf numFmtId="166" fontId="0" fillId="5" borderId="2" xfId="0" applyNumberFormat="1" applyFill="1" applyBorder="1" applyAlignment="1">
      <alignment horizontal="left" vertical="center" wrapText="1" indent="1"/>
    </xf>
    <xf numFmtId="166" fontId="0" fillId="5" borderId="1" xfId="0" applyNumberFormat="1" applyFill="1" applyBorder="1" applyAlignment="1">
      <alignment horizontal="left" vertical="center" wrapText="1" indent="1"/>
    </xf>
    <xf numFmtId="166" fontId="0" fillId="5" borderId="3" xfId="0" applyNumberFormat="1" applyFill="1" applyBorder="1" applyAlignment="1">
      <alignment horizontal="left" vertical="center" wrapText="1" indent="1"/>
    </xf>
    <xf numFmtId="0" fontId="27" fillId="0" borderId="0" xfId="1" applyFont="1" applyAlignment="1" applyProtection="1">
      <alignment horizontal="left" vertical="center"/>
    </xf>
    <xf numFmtId="0" fontId="6" fillId="6" borderId="9" xfId="0" applyFont="1" applyFill="1" applyBorder="1" applyAlignment="1">
      <alignment horizontal="left" vertical="center" indent="1"/>
    </xf>
  </cellXfs>
  <cellStyles count="8">
    <cellStyle name="Hyperlink" xfId="1" builtinId="8" customBuiltin="1"/>
    <cellStyle name="Normal" xfId="0" builtinId="0"/>
    <cellStyle name="Normal 2" xfId="5" xr:uid="{F6137E9C-9D90-4907-87D2-F66E1236C2C7}"/>
    <cellStyle name="Normal 3 2" xfId="4" xr:uid="{468F9836-FCE4-46C8-AE46-CFD105BDDA17}"/>
    <cellStyle name="Normal 3 2 2" xfId="7" xr:uid="{5EBE4E74-803E-4F0E-8237-236DFD24A74A}"/>
    <cellStyle name="Normal 4" xfId="3" xr:uid="{0A5A6055-C10D-4DEA-8FED-A569442A9B09}"/>
    <cellStyle name="Normal 4 2" xfId="6" xr:uid="{8193CEAB-09E8-470F-82FE-732684E7C073}"/>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AI_Theme">
      <a:dk1>
        <a:sysClr val="windowText" lastClr="000000"/>
      </a:dk1>
      <a:lt1>
        <a:sysClr val="window" lastClr="FFFFFF"/>
      </a:lt1>
      <a:dk2>
        <a:srgbClr val="3A5D9C"/>
      </a:dk2>
      <a:lt2>
        <a:srgbClr val="EEEEEE"/>
      </a:lt2>
      <a:accent1>
        <a:srgbClr val="7451B3"/>
      </a:accent1>
      <a:accent2>
        <a:srgbClr val="439957"/>
      </a:accent2>
      <a:accent3>
        <a:srgbClr val="CB4D5C"/>
      </a:accent3>
      <a:accent4>
        <a:srgbClr val="2B76BB"/>
      </a:accent4>
      <a:accent5>
        <a:srgbClr val="C7823D"/>
      </a:accent5>
      <a:accent6>
        <a:srgbClr val="328C88"/>
      </a:accent6>
      <a:hlink>
        <a:srgbClr val="4C92AE"/>
      </a:hlink>
      <a:folHlink>
        <a:srgbClr val="96969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K49"/>
  <sheetViews>
    <sheetView showGridLines="0" tabSelected="1" showRuler="0" zoomScale="70" zoomScaleNormal="70" zoomScalePageLayoutView="70" workbookViewId="0">
      <pane ySplit="6" topLeftCell="A7" activePane="bottomLeft" state="frozen"/>
      <selection pane="bottomLeft" activeCell="D39" sqref="D39"/>
    </sheetView>
  </sheetViews>
  <sheetFormatPr defaultColWidth="10.28515625" defaultRowHeight="15" x14ac:dyDescent="0.25"/>
  <cols>
    <col min="1" max="1" width="2.7109375" customWidth="1"/>
    <col min="2" max="2" width="36.140625" customWidth="1"/>
    <col min="3" max="3" width="24.140625" style="55" customWidth="1"/>
    <col min="4" max="4" width="9.5703125" customWidth="1"/>
    <col min="5" max="5" width="10.28515625" style="3" customWidth="1"/>
    <col min="6" max="6" width="10.28515625" customWidth="1"/>
    <col min="7" max="7" width="2.7109375" customWidth="1"/>
    <col min="8" max="8" width="6.140625" hidden="1" customWidth="1"/>
    <col min="9" max="141" width="2.5703125" customWidth="1"/>
  </cols>
  <sheetData>
    <row r="1" spans="1:141" ht="28.5" x14ac:dyDescent="0.45">
      <c r="A1" t="s">
        <v>22</v>
      </c>
      <c r="B1" s="32" t="s">
        <v>29</v>
      </c>
      <c r="C1" s="54"/>
      <c r="D1" s="1"/>
      <c r="E1" s="2"/>
      <c r="F1" s="19"/>
      <c r="H1" s="1"/>
      <c r="I1" s="5"/>
      <c r="J1" s="65" t="b">
        <f>B3=HYPERLINK("https://vertex42.link/HowToMakeAGanttChart","► Watch How to Make a Gantt Chart in Excel")</f>
        <v>0</v>
      </c>
      <c r="K1" s="65"/>
      <c r="L1" s="65"/>
      <c r="M1" s="65"/>
      <c r="N1" s="65"/>
      <c r="O1" s="65"/>
      <c r="P1" s="65"/>
      <c r="Q1" s="65"/>
      <c r="R1" s="65"/>
      <c r="S1" s="65"/>
      <c r="T1" s="65"/>
      <c r="U1" s="65"/>
      <c r="V1" s="65"/>
      <c r="W1" s="65"/>
      <c r="X1" s="65"/>
      <c r="Y1" s="65"/>
      <c r="Z1" s="65"/>
      <c r="AA1" s="65"/>
    </row>
    <row r="2" spans="1:141" ht="19.5" customHeight="1" x14ac:dyDescent="0.3">
      <c r="B2" s="33" t="s">
        <v>28</v>
      </c>
      <c r="D2" s="4" t="s">
        <v>1</v>
      </c>
      <c r="E2" s="25">
        <v>46122</v>
      </c>
      <c r="F2" s="26"/>
    </row>
    <row r="3" spans="1:141" ht="19.5" customHeight="1" x14ac:dyDescent="0.3">
      <c r="B3" s="33" t="s">
        <v>27</v>
      </c>
      <c r="D3" s="4" t="s">
        <v>21</v>
      </c>
      <c r="E3" s="25">
        <f ca="1">TODAY()</f>
        <v>46150</v>
      </c>
      <c r="F3" s="26"/>
    </row>
    <row r="4" spans="1:141" ht="19.5" customHeight="1" x14ac:dyDescent="0.25">
      <c r="B4" s="34"/>
      <c r="C4" s="56"/>
      <c r="D4" s="4" t="s">
        <v>8</v>
      </c>
      <c r="E4" s="24">
        <v>3</v>
      </c>
      <c r="I4" s="62">
        <f>I5</f>
        <v>46132</v>
      </c>
      <c r="J4" s="63"/>
      <c r="K4" s="63"/>
      <c r="L4" s="63"/>
      <c r="M4" s="63"/>
      <c r="N4" s="63"/>
      <c r="O4" s="64"/>
      <c r="P4" s="62">
        <f>P5</f>
        <v>46139</v>
      </c>
      <c r="Q4" s="63"/>
      <c r="R4" s="63"/>
      <c r="S4" s="63"/>
      <c r="T4" s="63"/>
      <c r="U4" s="63"/>
      <c r="V4" s="64"/>
      <c r="W4" s="62">
        <f>W5</f>
        <v>46146</v>
      </c>
      <c r="X4" s="63"/>
      <c r="Y4" s="63"/>
      <c r="Z4" s="63"/>
      <c r="AA4" s="63"/>
      <c r="AB4" s="63"/>
      <c r="AC4" s="64"/>
      <c r="AD4" s="62">
        <f>AD5</f>
        <v>46153</v>
      </c>
      <c r="AE4" s="63"/>
      <c r="AF4" s="63"/>
      <c r="AG4" s="63"/>
      <c r="AH4" s="63"/>
      <c r="AI4" s="63"/>
      <c r="AJ4" s="64"/>
      <c r="AK4" s="62">
        <f>AK5</f>
        <v>46160</v>
      </c>
      <c r="AL4" s="63"/>
      <c r="AM4" s="63"/>
      <c r="AN4" s="63"/>
      <c r="AO4" s="63"/>
      <c r="AP4" s="63"/>
      <c r="AQ4" s="64"/>
      <c r="AR4" s="62">
        <f>AR5</f>
        <v>46167</v>
      </c>
      <c r="AS4" s="63"/>
      <c r="AT4" s="63"/>
      <c r="AU4" s="63"/>
      <c r="AV4" s="63"/>
      <c r="AW4" s="63"/>
      <c r="AX4" s="64"/>
      <c r="AY4" s="62">
        <f>AY5</f>
        <v>46174</v>
      </c>
      <c r="AZ4" s="63"/>
      <c r="BA4" s="63"/>
      <c r="BB4" s="63"/>
      <c r="BC4" s="63"/>
      <c r="BD4" s="63"/>
      <c r="BE4" s="64"/>
      <c r="BF4" s="62">
        <f>BF5</f>
        <v>46181</v>
      </c>
      <c r="BG4" s="63"/>
      <c r="BH4" s="63"/>
      <c r="BI4" s="63"/>
      <c r="BJ4" s="63"/>
      <c r="BK4" s="63"/>
      <c r="BL4" s="64"/>
      <c r="BM4" s="62">
        <f>BM5</f>
        <v>46188</v>
      </c>
      <c r="BN4" s="63"/>
      <c r="BO4" s="63"/>
      <c r="BP4" s="63"/>
      <c r="BQ4" s="63"/>
      <c r="BR4" s="63"/>
      <c r="BS4" s="64"/>
      <c r="BT4" s="62">
        <f>BT5</f>
        <v>46195</v>
      </c>
      <c r="BU4" s="63"/>
      <c r="BV4" s="63"/>
      <c r="BW4" s="63"/>
      <c r="BX4" s="63"/>
      <c r="BY4" s="63"/>
      <c r="BZ4" s="64"/>
      <c r="CA4" s="62">
        <f>CA5</f>
        <v>46202</v>
      </c>
      <c r="CB4" s="63"/>
      <c r="CC4" s="63"/>
      <c r="CD4" s="63"/>
      <c r="CE4" s="63"/>
      <c r="CF4" s="63"/>
      <c r="CG4" s="64"/>
      <c r="CH4" s="62">
        <f>CH5</f>
        <v>46209</v>
      </c>
      <c r="CI4" s="63"/>
      <c r="CJ4" s="63"/>
      <c r="CK4" s="63"/>
      <c r="CL4" s="63"/>
      <c r="CM4" s="63"/>
      <c r="CN4" s="64"/>
      <c r="CO4" s="62">
        <f>CO5</f>
        <v>46216</v>
      </c>
      <c r="CP4" s="63"/>
      <c r="CQ4" s="63"/>
      <c r="CR4" s="63"/>
      <c r="CS4" s="63"/>
      <c r="CT4" s="63"/>
      <c r="CU4" s="64"/>
      <c r="CV4" s="62">
        <f>CV5</f>
        <v>46223</v>
      </c>
      <c r="CW4" s="63"/>
      <c r="CX4" s="63"/>
      <c r="CY4" s="63"/>
      <c r="CZ4" s="63"/>
      <c r="DA4" s="63"/>
      <c r="DB4" s="64"/>
      <c r="DC4" s="62">
        <f>DC5</f>
        <v>46230</v>
      </c>
      <c r="DD4" s="63"/>
      <c r="DE4" s="63"/>
      <c r="DF4" s="63"/>
      <c r="DG4" s="63"/>
      <c r="DH4" s="63"/>
      <c r="DI4" s="64"/>
      <c r="DJ4" s="62">
        <f>DJ5</f>
        <v>46237</v>
      </c>
      <c r="DK4" s="63"/>
      <c r="DL4" s="63"/>
      <c r="DM4" s="63"/>
      <c r="DN4" s="63"/>
      <c r="DO4" s="63"/>
      <c r="DP4" s="64"/>
      <c r="DQ4" s="62">
        <f>DQ5</f>
        <v>46244</v>
      </c>
      <c r="DR4" s="63"/>
      <c r="DS4" s="63"/>
      <c r="DT4" s="63"/>
      <c r="DU4" s="63"/>
      <c r="DV4" s="63"/>
      <c r="DW4" s="64"/>
      <c r="DX4" s="62">
        <f>DX5</f>
        <v>46251</v>
      </c>
      <c r="DY4" s="63"/>
      <c r="DZ4" s="63"/>
      <c r="EA4" s="63"/>
      <c r="EB4" s="63"/>
      <c r="EC4" s="63"/>
      <c r="ED4" s="64"/>
      <c r="EE4" s="62">
        <f>EE5</f>
        <v>46258</v>
      </c>
      <c r="EF4" s="63"/>
      <c r="EG4" s="63"/>
      <c r="EH4" s="63"/>
      <c r="EI4" s="63"/>
      <c r="EJ4" s="63"/>
      <c r="EK4" s="64"/>
    </row>
    <row r="5" spans="1:141" x14ac:dyDescent="0.25">
      <c r="A5" s="4"/>
      <c r="G5" s="4"/>
      <c r="I5" s="29">
        <f>E2-WEEKDAY(E2,1)+2+7*(E4-1)</f>
        <v>46132</v>
      </c>
      <c r="J5" s="30">
        <f>I5+1</f>
        <v>46133</v>
      </c>
      <c r="K5" s="30">
        <f t="shared" ref="K5:AX5" si="0">J5+1</f>
        <v>46134</v>
      </c>
      <c r="L5" s="30">
        <f t="shared" si="0"/>
        <v>46135</v>
      </c>
      <c r="M5" s="30">
        <f t="shared" si="0"/>
        <v>46136</v>
      </c>
      <c r="N5" s="30">
        <f t="shared" si="0"/>
        <v>46137</v>
      </c>
      <c r="O5" s="31">
        <f t="shared" si="0"/>
        <v>46138</v>
      </c>
      <c r="P5" s="29">
        <f>O5+1</f>
        <v>46139</v>
      </c>
      <c r="Q5" s="30">
        <f>P5+1</f>
        <v>46140</v>
      </c>
      <c r="R5" s="30">
        <f t="shared" si="0"/>
        <v>46141</v>
      </c>
      <c r="S5" s="30">
        <f t="shared" si="0"/>
        <v>46142</v>
      </c>
      <c r="T5" s="30">
        <f t="shared" si="0"/>
        <v>46143</v>
      </c>
      <c r="U5" s="30">
        <f t="shared" si="0"/>
        <v>46144</v>
      </c>
      <c r="V5" s="31">
        <f t="shared" si="0"/>
        <v>46145</v>
      </c>
      <c r="W5" s="29">
        <f>V5+1</f>
        <v>46146</v>
      </c>
      <c r="X5" s="30">
        <f>W5+1</f>
        <v>46147</v>
      </c>
      <c r="Y5" s="30">
        <f t="shared" si="0"/>
        <v>46148</v>
      </c>
      <c r="Z5" s="30">
        <f t="shared" si="0"/>
        <v>46149</v>
      </c>
      <c r="AA5" s="30">
        <f t="shared" si="0"/>
        <v>46150</v>
      </c>
      <c r="AB5" s="30">
        <f t="shared" si="0"/>
        <v>46151</v>
      </c>
      <c r="AC5" s="31">
        <f t="shared" si="0"/>
        <v>46152</v>
      </c>
      <c r="AD5" s="29">
        <f>AC5+1</f>
        <v>46153</v>
      </c>
      <c r="AE5" s="30">
        <f>AD5+1</f>
        <v>46154</v>
      </c>
      <c r="AF5" s="30">
        <f t="shared" si="0"/>
        <v>46155</v>
      </c>
      <c r="AG5" s="30">
        <f t="shared" si="0"/>
        <v>46156</v>
      </c>
      <c r="AH5" s="30">
        <f t="shared" si="0"/>
        <v>46157</v>
      </c>
      <c r="AI5" s="30">
        <f t="shared" si="0"/>
        <v>46158</v>
      </c>
      <c r="AJ5" s="31">
        <f t="shared" si="0"/>
        <v>46159</v>
      </c>
      <c r="AK5" s="29">
        <f>AJ5+1</f>
        <v>46160</v>
      </c>
      <c r="AL5" s="30">
        <f>AK5+1</f>
        <v>46161</v>
      </c>
      <c r="AM5" s="30">
        <f t="shared" si="0"/>
        <v>46162</v>
      </c>
      <c r="AN5" s="30">
        <f t="shared" si="0"/>
        <v>46163</v>
      </c>
      <c r="AO5" s="30">
        <f t="shared" si="0"/>
        <v>46164</v>
      </c>
      <c r="AP5" s="30">
        <f t="shared" si="0"/>
        <v>46165</v>
      </c>
      <c r="AQ5" s="31">
        <f t="shared" si="0"/>
        <v>46166</v>
      </c>
      <c r="AR5" s="29">
        <f>AQ5+1</f>
        <v>46167</v>
      </c>
      <c r="AS5" s="30">
        <f>AR5+1</f>
        <v>46168</v>
      </c>
      <c r="AT5" s="30">
        <f t="shared" si="0"/>
        <v>46169</v>
      </c>
      <c r="AU5" s="30">
        <f t="shared" si="0"/>
        <v>46170</v>
      </c>
      <c r="AV5" s="30">
        <f t="shared" si="0"/>
        <v>46171</v>
      </c>
      <c r="AW5" s="30">
        <f t="shared" si="0"/>
        <v>46172</v>
      </c>
      <c r="AX5" s="31">
        <f t="shared" si="0"/>
        <v>46173</v>
      </c>
      <c r="AY5" s="29">
        <f t="shared" ref="AY5:CD5" si="1">AX5+1</f>
        <v>46174</v>
      </c>
      <c r="AZ5" s="30">
        <f t="shared" si="1"/>
        <v>46175</v>
      </c>
      <c r="BA5" s="30">
        <f t="shared" si="1"/>
        <v>46176</v>
      </c>
      <c r="BB5" s="30">
        <f t="shared" si="1"/>
        <v>46177</v>
      </c>
      <c r="BC5" s="30">
        <f t="shared" si="1"/>
        <v>46178</v>
      </c>
      <c r="BD5" s="30">
        <f t="shared" si="1"/>
        <v>46179</v>
      </c>
      <c r="BE5" s="31">
        <f t="shared" si="1"/>
        <v>46180</v>
      </c>
      <c r="BF5" s="29">
        <f t="shared" si="1"/>
        <v>46181</v>
      </c>
      <c r="BG5" s="30">
        <f t="shared" si="1"/>
        <v>46182</v>
      </c>
      <c r="BH5" s="30">
        <f t="shared" si="1"/>
        <v>46183</v>
      </c>
      <c r="BI5" s="30">
        <f t="shared" si="1"/>
        <v>46184</v>
      </c>
      <c r="BJ5" s="30">
        <f t="shared" si="1"/>
        <v>46185</v>
      </c>
      <c r="BK5" s="30">
        <f t="shared" si="1"/>
        <v>46186</v>
      </c>
      <c r="BL5" s="31">
        <f t="shared" si="1"/>
        <v>46187</v>
      </c>
      <c r="BM5" s="29">
        <f t="shared" si="1"/>
        <v>46188</v>
      </c>
      <c r="BN5" s="30">
        <f t="shared" si="1"/>
        <v>46189</v>
      </c>
      <c r="BO5" s="30">
        <f t="shared" si="1"/>
        <v>46190</v>
      </c>
      <c r="BP5" s="30">
        <f t="shared" si="1"/>
        <v>46191</v>
      </c>
      <c r="BQ5" s="30">
        <f t="shared" si="1"/>
        <v>46192</v>
      </c>
      <c r="BR5" s="30">
        <f t="shared" si="1"/>
        <v>46193</v>
      </c>
      <c r="BS5" s="31">
        <f t="shared" si="1"/>
        <v>46194</v>
      </c>
      <c r="BT5" s="29">
        <f t="shared" si="1"/>
        <v>46195</v>
      </c>
      <c r="BU5" s="30">
        <f t="shared" si="1"/>
        <v>46196</v>
      </c>
      <c r="BV5" s="30">
        <f t="shared" si="1"/>
        <v>46197</v>
      </c>
      <c r="BW5" s="30">
        <f t="shared" si="1"/>
        <v>46198</v>
      </c>
      <c r="BX5" s="30">
        <f t="shared" si="1"/>
        <v>46199</v>
      </c>
      <c r="BY5" s="30">
        <f t="shared" si="1"/>
        <v>46200</v>
      </c>
      <c r="BZ5" s="31">
        <f t="shared" si="1"/>
        <v>46201</v>
      </c>
      <c r="CA5" s="29">
        <f t="shared" si="1"/>
        <v>46202</v>
      </c>
      <c r="CB5" s="30">
        <f t="shared" si="1"/>
        <v>46203</v>
      </c>
      <c r="CC5" s="30">
        <f t="shared" si="1"/>
        <v>46204</v>
      </c>
      <c r="CD5" s="30">
        <f t="shared" si="1"/>
        <v>46205</v>
      </c>
      <c r="CE5" s="30">
        <f t="shared" ref="CE5:DJ5" si="2">CD5+1</f>
        <v>46206</v>
      </c>
      <c r="CF5" s="30">
        <f t="shared" si="2"/>
        <v>46207</v>
      </c>
      <c r="CG5" s="31">
        <f t="shared" si="2"/>
        <v>46208</v>
      </c>
      <c r="CH5" s="29">
        <f t="shared" si="2"/>
        <v>46209</v>
      </c>
      <c r="CI5" s="30">
        <f t="shared" si="2"/>
        <v>46210</v>
      </c>
      <c r="CJ5" s="30">
        <f t="shared" si="2"/>
        <v>46211</v>
      </c>
      <c r="CK5" s="30">
        <f t="shared" si="2"/>
        <v>46212</v>
      </c>
      <c r="CL5" s="30">
        <f t="shared" si="2"/>
        <v>46213</v>
      </c>
      <c r="CM5" s="30">
        <f t="shared" si="2"/>
        <v>46214</v>
      </c>
      <c r="CN5" s="31">
        <f t="shared" si="2"/>
        <v>46215</v>
      </c>
      <c r="CO5" s="29">
        <f t="shared" si="2"/>
        <v>46216</v>
      </c>
      <c r="CP5" s="30">
        <f t="shared" si="2"/>
        <v>46217</v>
      </c>
      <c r="CQ5" s="30">
        <f t="shared" si="2"/>
        <v>46218</v>
      </c>
      <c r="CR5" s="30">
        <f t="shared" si="2"/>
        <v>46219</v>
      </c>
      <c r="CS5" s="30">
        <f t="shared" si="2"/>
        <v>46220</v>
      </c>
      <c r="CT5" s="30">
        <f t="shared" si="2"/>
        <v>46221</v>
      </c>
      <c r="CU5" s="31">
        <f t="shared" si="2"/>
        <v>46222</v>
      </c>
      <c r="CV5" s="29">
        <f t="shared" si="2"/>
        <v>46223</v>
      </c>
      <c r="CW5" s="30">
        <f t="shared" si="2"/>
        <v>46224</v>
      </c>
      <c r="CX5" s="30">
        <f t="shared" si="2"/>
        <v>46225</v>
      </c>
      <c r="CY5" s="30">
        <f t="shared" si="2"/>
        <v>46226</v>
      </c>
      <c r="CZ5" s="30">
        <f t="shared" si="2"/>
        <v>46227</v>
      </c>
      <c r="DA5" s="30">
        <f t="shared" si="2"/>
        <v>46228</v>
      </c>
      <c r="DB5" s="31">
        <f t="shared" si="2"/>
        <v>46229</v>
      </c>
      <c r="DC5" s="29">
        <f t="shared" si="2"/>
        <v>46230</v>
      </c>
      <c r="DD5" s="30">
        <f t="shared" si="2"/>
        <v>46231</v>
      </c>
      <c r="DE5" s="30">
        <f t="shared" si="2"/>
        <v>46232</v>
      </c>
      <c r="DF5" s="30">
        <f t="shared" si="2"/>
        <v>46233</v>
      </c>
      <c r="DG5" s="30">
        <f t="shared" si="2"/>
        <v>46234</v>
      </c>
      <c r="DH5" s="30">
        <f t="shared" si="2"/>
        <v>46235</v>
      </c>
      <c r="DI5" s="31">
        <f t="shared" si="2"/>
        <v>46236</v>
      </c>
      <c r="DJ5" s="29">
        <f t="shared" si="2"/>
        <v>46237</v>
      </c>
      <c r="DK5" s="30">
        <f t="shared" ref="DK5:EK5" si="3">DJ5+1</f>
        <v>46238</v>
      </c>
      <c r="DL5" s="30">
        <f t="shared" si="3"/>
        <v>46239</v>
      </c>
      <c r="DM5" s="30">
        <f t="shared" si="3"/>
        <v>46240</v>
      </c>
      <c r="DN5" s="30">
        <f t="shared" si="3"/>
        <v>46241</v>
      </c>
      <c r="DO5" s="30">
        <f t="shared" si="3"/>
        <v>46242</v>
      </c>
      <c r="DP5" s="31">
        <f t="shared" si="3"/>
        <v>46243</v>
      </c>
      <c r="DQ5" s="29">
        <f t="shared" si="3"/>
        <v>46244</v>
      </c>
      <c r="DR5" s="30">
        <f t="shared" si="3"/>
        <v>46245</v>
      </c>
      <c r="DS5" s="30">
        <f t="shared" si="3"/>
        <v>46246</v>
      </c>
      <c r="DT5" s="30">
        <f t="shared" si="3"/>
        <v>46247</v>
      </c>
      <c r="DU5" s="30">
        <f t="shared" si="3"/>
        <v>46248</v>
      </c>
      <c r="DV5" s="30">
        <f t="shared" si="3"/>
        <v>46249</v>
      </c>
      <c r="DW5" s="31">
        <f t="shared" si="3"/>
        <v>46250</v>
      </c>
      <c r="DX5" s="29">
        <f t="shared" si="3"/>
        <v>46251</v>
      </c>
      <c r="DY5" s="30">
        <f t="shared" si="3"/>
        <v>46252</v>
      </c>
      <c r="DZ5" s="30">
        <f t="shared" si="3"/>
        <v>46253</v>
      </c>
      <c r="EA5" s="30">
        <f t="shared" si="3"/>
        <v>46254</v>
      </c>
      <c r="EB5" s="30">
        <f t="shared" si="3"/>
        <v>46255</v>
      </c>
      <c r="EC5" s="30">
        <f t="shared" si="3"/>
        <v>46256</v>
      </c>
      <c r="ED5" s="31">
        <f t="shared" si="3"/>
        <v>46257</v>
      </c>
      <c r="EE5" s="29">
        <f t="shared" si="3"/>
        <v>46258</v>
      </c>
      <c r="EF5" s="30">
        <f t="shared" si="3"/>
        <v>46259</v>
      </c>
      <c r="EG5" s="30">
        <f t="shared" si="3"/>
        <v>46260</v>
      </c>
      <c r="EH5" s="30">
        <f t="shared" si="3"/>
        <v>46261</v>
      </c>
      <c r="EI5" s="30">
        <f t="shared" si="3"/>
        <v>46262</v>
      </c>
      <c r="EJ5" s="30">
        <f t="shared" si="3"/>
        <v>46263</v>
      </c>
      <c r="EK5" s="31">
        <f t="shared" si="3"/>
        <v>46264</v>
      </c>
    </row>
    <row r="6" spans="1:141" ht="29.25" customHeight="1" x14ac:dyDescent="0.25">
      <c r="A6" s="7"/>
      <c r="B6" s="27" t="s">
        <v>9</v>
      </c>
      <c r="C6" s="28" t="s">
        <v>3</v>
      </c>
      <c r="D6" s="28" t="s">
        <v>2</v>
      </c>
      <c r="E6" s="28" t="s">
        <v>5</v>
      </c>
      <c r="F6" s="28" t="s">
        <v>6</v>
      </c>
      <c r="G6" s="28"/>
      <c r="H6" s="28" t="s">
        <v>7</v>
      </c>
      <c r="I6" s="35" t="str">
        <f>LEFT(TEXT(I5,"ddd"),1)</f>
        <v>M</v>
      </c>
      <c r="J6" s="35" t="str">
        <f t="shared" ref="J6:AR6" si="4">LEFT(TEXT(J5,"ddd"),1)</f>
        <v>T</v>
      </c>
      <c r="K6" s="35" t="str">
        <f t="shared" si="4"/>
        <v>W</v>
      </c>
      <c r="L6" s="35" t="str">
        <f t="shared" si="4"/>
        <v>T</v>
      </c>
      <c r="M6" s="35" t="str">
        <f t="shared" si="4"/>
        <v>F</v>
      </c>
      <c r="N6" s="35" t="str">
        <f t="shared" si="4"/>
        <v>S</v>
      </c>
      <c r="O6" s="35" t="str">
        <f t="shared" si="4"/>
        <v>S</v>
      </c>
      <c r="P6" s="35" t="str">
        <f t="shared" si="4"/>
        <v>M</v>
      </c>
      <c r="Q6" s="35" t="str">
        <f t="shared" si="4"/>
        <v>T</v>
      </c>
      <c r="R6" s="35" t="str">
        <f t="shared" si="4"/>
        <v>W</v>
      </c>
      <c r="S6" s="35" t="str">
        <f t="shared" si="4"/>
        <v>T</v>
      </c>
      <c r="T6" s="35" t="str">
        <f t="shared" si="4"/>
        <v>F</v>
      </c>
      <c r="U6" s="35" t="str">
        <f t="shared" si="4"/>
        <v>S</v>
      </c>
      <c r="V6" s="35" t="str">
        <f t="shared" si="4"/>
        <v>S</v>
      </c>
      <c r="W6" s="35" t="str">
        <f t="shared" si="4"/>
        <v>M</v>
      </c>
      <c r="X6" s="35" t="str">
        <f t="shared" si="4"/>
        <v>T</v>
      </c>
      <c r="Y6" s="35" t="str">
        <f t="shared" si="4"/>
        <v>W</v>
      </c>
      <c r="Z6" s="35" t="str">
        <f t="shared" si="4"/>
        <v>T</v>
      </c>
      <c r="AA6" s="35" t="str">
        <f t="shared" si="4"/>
        <v>F</v>
      </c>
      <c r="AB6" s="35" t="str">
        <f t="shared" si="4"/>
        <v>S</v>
      </c>
      <c r="AC6" s="35" t="str">
        <f t="shared" si="4"/>
        <v>S</v>
      </c>
      <c r="AD6" s="35" t="str">
        <f t="shared" si="4"/>
        <v>M</v>
      </c>
      <c r="AE6" s="35" t="str">
        <f t="shared" si="4"/>
        <v>T</v>
      </c>
      <c r="AF6" s="35" t="str">
        <f t="shared" si="4"/>
        <v>W</v>
      </c>
      <c r="AG6" s="35" t="str">
        <f t="shared" si="4"/>
        <v>T</v>
      </c>
      <c r="AH6" s="35" t="str">
        <f t="shared" si="4"/>
        <v>F</v>
      </c>
      <c r="AI6" s="35" t="str">
        <f t="shared" si="4"/>
        <v>S</v>
      </c>
      <c r="AJ6" s="35" t="str">
        <f t="shared" si="4"/>
        <v>S</v>
      </c>
      <c r="AK6" s="35" t="str">
        <f t="shared" si="4"/>
        <v>M</v>
      </c>
      <c r="AL6" s="35" t="str">
        <f t="shared" si="4"/>
        <v>T</v>
      </c>
      <c r="AM6" s="35" t="str">
        <f t="shared" si="4"/>
        <v>W</v>
      </c>
      <c r="AN6" s="35" t="str">
        <f t="shared" si="4"/>
        <v>T</v>
      </c>
      <c r="AO6" s="35" t="str">
        <f t="shared" si="4"/>
        <v>F</v>
      </c>
      <c r="AP6" s="35" t="str">
        <f t="shared" si="4"/>
        <v>S</v>
      </c>
      <c r="AQ6" s="35" t="str">
        <f t="shared" si="4"/>
        <v>S</v>
      </c>
      <c r="AR6" s="35" t="str">
        <f t="shared" si="4"/>
        <v>M</v>
      </c>
      <c r="AS6" s="35" t="str">
        <f t="shared" ref="AS6:BL6" si="5">LEFT(TEXT(AS5,"ddd"),1)</f>
        <v>T</v>
      </c>
      <c r="AT6" s="35" t="str">
        <f t="shared" si="5"/>
        <v>W</v>
      </c>
      <c r="AU6" s="35" t="str">
        <f t="shared" si="5"/>
        <v>T</v>
      </c>
      <c r="AV6" s="35" t="str">
        <f t="shared" si="5"/>
        <v>F</v>
      </c>
      <c r="AW6" s="35" t="str">
        <f t="shared" si="5"/>
        <v>S</v>
      </c>
      <c r="AX6" s="35" t="str">
        <f t="shared" si="5"/>
        <v>S</v>
      </c>
      <c r="AY6" s="35" t="str">
        <f t="shared" si="5"/>
        <v>M</v>
      </c>
      <c r="AZ6" s="35" t="str">
        <f t="shared" si="5"/>
        <v>T</v>
      </c>
      <c r="BA6" s="35" t="str">
        <f t="shared" si="5"/>
        <v>W</v>
      </c>
      <c r="BB6" s="35" t="str">
        <f t="shared" si="5"/>
        <v>T</v>
      </c>
      <c r="BC6" s="35" t="str">
        <f t="shared" si="5"/>
        <v>F</v>
      </c>
      <c r="BD6" s="35" t="str">
        <f t="shared" si="5"/>
        <v>S</v>
      </c>
      <c r="BE6" s="35" t="str">
        <f t="shared" si="5"/>
        <v>S</v>
      </c>
      <c r="BF6" s="35" t="str">
        <f t="shared" si="5"/>
        <v>M</v>
      </c>
      <c r="BG6" s="35" t="str">
        <f t="shared" si="5"/>
        <v>T</v>
      </c>
      <c r="BH6" s="35" t="str">
        <f t="shared" si="5"/>
        <v>W</v>
      </c>
      <c r="BI6" s="35" t="str">
        <f t="shared" si="5"/>
        <v>T</v>
      </c>
      <c r="BJ6" s="35" t="str">
        <f t="shared" si="5"/>
        <v>F</v>
      </c>
      <c r="BK6" s="35" t="str">
        <f t="shared" si="5"/>
        <v>S</v>
      </c>
      <c r="BL6" s="35" t="str">
        <f t="shared" si="5"/>
        <v>S</v>
      </c>
      <c r="BM6" s="35" t="str">
        <f t="shared" ref="BM6:DX6" si="6">LEFT(TEXT(BM5,"ddd"),1)</f>
        <v>M</v>
      </c>
      <c r="BN6" s="35" t="str">
        <f t="shared" si="6"/>
        <v>T</v>
      </c>
      <c r="BO6" s="35" t="str">
        <f t="shared" si="6"/>
        <v>W</v>
      </c>
      <c r="BP6" s="35" t="str">
        <f t="shared" si="6"/>
        <v>T</v>
      </c>
      <c r="BQ6" s="35" t="str">
        <f t="shared" si="6"/>
        <v>F</v>
      </c>
      <c r="BR6" s="35" t="str">
        <f t="shared" si="6"/>
        <v>S</v>
      </c>
      <c r="BS6" s="35" t="str">
        <f t="shared" si="6"/>
        <v>S</v>
      </c>
      <c r="BT6" s="35" t="str">
        <f t="shared" si="6"/>
        <v>M</v>
      </c>
      <c r="BU6" s="35" t="str">
        <f t="shared" si="6"/>
        <v>T</v>
      </c>
      <c r="BV6" s="35" t="str">
        <f t="shared" si="6"/>
        <v>W</v>
      </c>
      <c r="BW6" s="35" t="str">
        <f t="shared" si="6"/>
        <v>T</v>
      </c>
      <c r="BX6" s="35" t="str">
        <f t="shared" si="6"/>
        <v>F</v>
      </c>
      <c r="BY6" s="35" t="str">
        <f t="shared" si="6"/>
        <v>S</v>
      </c>
      <c r="BZ6" s="35" t="str">
        <f t="shared" si="6"/>
        <v>S</v>
      </c>
      <c r="CA6" s="35" t="str">
        <f t="shared" si="6"/>
        <v>M</v>
      </c>
      <c r="CB6" s="35" t="str">
        <f t="shared" si="6"/>
        <v>T</v>
      </c>
      <c r="CC6" s="35" t="str">
        <f t="shared" si="6"/>
        <v>W</v>
      </c>
      <c r="CD6" s="35" t="str">
        <f t="shared" si="6"/>
        <v>T</v>
      </c>
      <c r="CE6" s="35" t="str">
        <f t="shared" si="6"/>
        <v>F</v>
      </c>
      <c r="CF6" s="35" t="str">
        <f t="shared" si="6"/>
        <v>S</v>
      </c>
      <c r="CG6" s="35" t="str">
        <f t="shared" si="6"/>
        <v>S</v>
      </c>
      <c r="CH6" s="35" t="str">
        <f t="shared" si="6"/>
        <v>M</v>
      </c>
      <c r="CI6" s="35" t="str">
        <f t="shared" si="6"/>
        <v>T</v>
      </c>
      <c r="CJ6" s="35" t="str">
        <f t="shared" si="6"/>
        <v>W</v>
      </c>
      <c r="CK6" s="35" t="str">
        <f t="shared" si="6"/>
        <v>T</v>
      </c>
      <c r="CL6" s="35" t="str">
        <f t="shared" si="6"/>
        <v>F</v>
      </c>
      <c r="CM6" s="35" t="str">
        <f t="shared" si="6"/>
        <v>S</v>
      </c>
      <c r="CN6" s="35" t="str">
        <f t="shared" si="6"/>
        <v>S</v>
      </c>
      <c r="CO6" s="35" t="str">
        <f t="shared" si="6"/>
        <v>M</v>
      </c>
      <c r="CP6" s="35" t="str">
        <f t="shared" si="6"/>
        <v>T</v>
      </c>
      <c r="CQ6" s="35" t="str">
        <f t="shared" si="6"/>
        <v>W</v>
      </c>
      <c r="CR6" s="35" t="str">
        <f t="shared" si="6"/>
        <v>T</v>
      </c>
      <c r="CS6" s="35" t="str">
        <f t="shared" si="6"/>
        <v>F</v>
      </c>
      <c r="CT6" s="35" t="str">
        <f t="shared" si="6"/>
        <v>S</v>
      </c>
      <c r="CU6" s="35" t="str">
        <f t="shared" si="6"/>
        <v>S</v>
      </c>
      <c r="CV6" s="35" t="str">
        <f t="shared" si="6"/>
        <v>M</v>
      </c>
      <c r="CW6" s="35" t="str">
        <f t="shared" si="6"/>
        <v>T</v>
      </c>
      <c r="CX6" s="35" t="str">
        <f t="shared" si="6"/>
        <v>W</v>
      </c>
      <c r="CY6" s="35" t="str">
        <f t="shared" si="6"/>
        <v>T</v>
      </c>
      <c r="CZ6" s="35" t="str">
        <f t="shared" si="6"/>
        <v>F</v>
      </c>
      <c r="DA6" s="35" t="str">
        <f t="shared" si="6"/>
        <v>S</v>
      </c>
      <c r="DB6" s="35" t="str">
        <f t="shared" si="6"/>
        <v>S</v>
      </c>
      <c r="DC6" s="35" t="str">
        <f t="shared" si="6"/>
        <v>M</v>
      </c>
      <c r="DD6" s="35" t="str">
        <f t="shared" si="6"/>
        <v>T</v>
      </c>
      <c r="DE6" s="35" t="str">
        <f t="shared" si="6"/>
        <v>W</v>
      </c>
      <c r="DF6" s="35" t="str">
        <f t="shared" si="6"/>
        <v>T</v>
      </c>
      <c r="DG6" s="35" t="str">
        <f t="shared" si="6"/>
        <v>F</v>
      </c>
      <c r="DH6" s="35" t="str">
        <f t="shared" si="6"/>
        <v>S</v>
      </c>
      <c r="DI6" s="35" t="str">
        <f t="shared" si="6"/>
        <v>S</v>
      </c>
      <c r="DJ6" s="35" t="str">
        <f t="shared" si="6"/>
        <v>M</v>
      </c>
      <c r="DK6" s="35" t="str">
        <f t="shared" si="6"/>
        <v>T</v>
      </c>
      <c r="DL6" s="35" t="str">
        <f t="shared" si="6"/>
        <v>W</v>
      </c>
      <c r="DM6" s="35" t="str">
        <f t="shared" si="6"/>
        <v>T</v>
      </c>
      <c r="DN6" s="35" t="str">
        <f t="shared" si="6"/>
        <v>F</v>
      </c>
      <c r="DO6" s="35" t="str">
        <f t="shared" si="6"/>
        <v>S</v>
      </c>
      <c r="DP6" s="35" t="str">
        <f t="shared" si="6"/>
        <v>S</v>
      </c>
      <c r="DQ6" s="35" t="str">
        <f t="shared" si="6"/>
        <v>M</v>
      </c>
      <c r="DR6" s="35" t="str">
        <f t="shared" si="6"/>
        <v>T</v>
      </c>
      <c r="DS6" s="35" t="str">
        <f t="shared" si="6"/>
        <v>W</v>
      </c>
      <c r="DT6" s="35" t="str">
        <f t="shared" si="6"/>
        <v>T</v>
      </c>
      <c r="DU6" s="35" t="str">
        <f t="shared" si="6"/>
        <v>F</v>
      </c>
      <c r="DV6" s="35" t="str">
        <f t="shared" si="6"/>
        <v>S</v>
      </c>
      <c r="DW6" s="35" t="str">
        <f t="shared" si="6"/>
        <v>S</v>
      </c>
      <c r="DX6" s="35" t="str">
        <f t="shared" si="6"/>
        <v>M</v>
      </c>
      <c r="DY6" s="35" t="str">
        <f t="shared" ref="DY6:EK6" si="7">LEFT(TEXT(DY5,"ddd"),1)</f>
        <v>T</v>
      </c>
      <c r="DZ6" s="35" t="str">
        <f t="shared" si="7"/>
        <v>W</v>
      </c>
      <c r="EA6" s="35" t="str">
        <f t="shared" si="7"/>
        <v>T</v>
      </c>
      <c r="EB6" s="35" t="str">
        <f t="shared" si="7"/>
        <v>F</v>
      </c>
      <c r="EC6" s="35" t="str">
        <f t="shared" si="7"/>
        <v>S</v>
      </c>
      <c r="ED6" s="35" t="str">
        <f t="shared" si="7"/>
        <v>S</v>
      </c>
      <c r="EE6" s="35" t="str">
        <f t="shared" si="7"/>
        <v>M</v>
      </c>
      <c r="EF6" s="35" t="str">
        <f t="shared" si="7"/>
        <v>T</v>
      </c>
      <c r="EG6" s="35" t="str">
        <f t="shared" si="7"/>
        <v>W</v>
      </c>
      <c r="EH6" s="35" t="str">
        <f t="shared" si="7"/>
        <v>T</v>
      </c>
      <c r="EI6" s="35" t="str">
        <f t="shared" si="7"/>
        <v>F</v>
      </c>
      <c r="EJ6" s="35" t="str">
        <f t="shared" si="7"/>
        <v>S</v>
      </c>
      <c r="EK6" s="35" t="str">
        <f t="shared" si="7"/>
        <v>S</v>
      </c>
    </row>
    <row r="7" spans="1:141" s="42" customFormat="1" ht="21" x14ac:dyDescent="0.25">
      <c r="A7" s="7"/>
      <c r="B7" s="66" t="s">
        <v>33</v>
      </c>
      <c r="C7" s="66"/>
      <c r="D7" s="66"/>
      <c r="E7" s="66"/>
      <c r="F7" s="66"/>
      <c r="G7" s="66"/>
      <c r="H7" s="40" t="str">
        <f t="shared" ref="H7:H27" si="8">IF(OR(ISBLANK(task_start),ISBLANK(task_end)),"",task_end-task_start+1)</f>
        <v/>
      </c>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c r="CD7" s="41"/>
      <c r="CE7" s="41"/>
      <c r="CF7" s="41"/>
      <c r="CG7" s="41"/>
      <c r="CH7" s="41"/>
      <c r="CI7" s="41"/>
      <c r="CJ7" s="41"/>
      <c r="CK7" s="41"/>
      <c r="CL7" s="41"/>
      <c r="CM7" s="41"/>
      <c r="CN7" s="41"/>
      <c r="CO7" s="41"/>
      <c r="CP7" s="41"/>
      <c r="CQ7" s="41"/>
      <c r="CR7" s="41"/>
      <c r="CS7" s="41"/>
      <c r="CT7" s="41"/>
      <c r="CU7" s="41"/>
      <c r="CV7" s="41"/>
      <c r="CW7" s="41"/>
      <c r="CX7" s="41"/>
      <c r="CY7" s="41"/>
      <c r="CZ7" s="41"/>
      <c r="DA7" s="41"/>
      <c r="DB7" s="41"/>
      <c r="DC7" s="41"/>
      <c r="DD7" s="41"/>
      <c r="DE7" s="41"/>
      <c r="DF7" s="41"/>
      <c r="DG7" s="41"/>
      <c r="DH7" s="41"/>
      <c r="DI7" s="41"/>
      <c r="DJ7" s="41"/>
      <c r="DK7" s="41"/>
      <c r="DL7" s="41"/>
      <c r="DM7" s="41"/>
      <c r="DN7" s="41"/>
      <c r="DO7" s="41"/>
      <c r="DP7" s="41"/>
      <c r="DQ7" s="41"/>
      <c r="DR7" s="41"/>
      <c r="DS7" s="41"/>
      <c r="DT7" s="41"/>
      <c r="DU7" s="41"/>
      <c r="DV7" s="41"/>
      <c r="DW7" s="41"/>
      <c r="DX7" s="41"/>
      <c r="DY7" s="41"/>
      <c r="DZ7" s="41"/>
      <c r="EA7" s="41"/>
      <c r="EB7" s="41"/>
      <c r="EC7" s="41"/>
      <c r="ED7" s="41"/>
      <c r="EE7" s="41"/>
      <c r="EF7" s="41"/>
      <c r="EG7" s="41"/>
      <c r="EH7" s="41"/>
      <c r="EI7" s="41"/>
      <c r="EJ7" s="41"/>
      <c r="EK7" s="41"/>
    </row>
    <row r="8" spans="1:141" s="42" customFormat="1" ht="21" x14ac:dyDescent="0.25">
      <c r="A8" s="7"/>
      <c r="B8" s="36" t="s">
        <v>30</v>
      </c>
      <c r="C8" s="57" t="s">
        <v>25</v>
      </c>
      <c r="D8" s="37">
        <v>1</v>
      </c>
      <c r="E8" s="38">
        <v>46122</v>
      </c>
      <c r="F8" s="39">
        <v>46122</v>
      </c>
      <c r="G8" s="40"/>
      <c r="H8" s="40">
        <f t="shared" si="8"/>
        <v>1</v>
      </c>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row>
    <row r="9" spans="1:141" s="42" customFormat="1" ht="21" x14ac:dyDescent="0.25">
      <c r="A9" s="7"/>
      <c r="B9" s="36" t="s">
        <v>31</v>
      </c>
      <c r="C9" s="57" t="s">
        <v>26</v>
      </c>
      <c r="D9" s="37">
        <v>1</v>
      </c>
      <c r="E9" s="38">
        <v>46122</v>
      </c>
      <c r="F9" s="39">
        <v>46122</v>
      </c>
      <c r="G9" s="40"/>
      <c r="H9" s="40">
        <f t="shared" si="8"/>
        <v>1</v>
      </c>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row>
    <row r="10" spans="1:141" s="42" customFormat="1" ht="21" x14ac:dyDescent="0.25">
      <c r="A10" s="7"/>
      <c r="B10" s="36" t="s">
        <v>32</v>
      </c>
      <c r="C10" s="57" t="s">
        <v>25</v>
      </c>
      <c r="D10" s="37">
        <v>1</v>
      </c>
      <c r="E10" s="38">
        <v>46122</v>
      </c>
      <c r="F10" s="39">
        <v>46122</v>
      </c>
      <c r="G10" s="40"/>
      <c r="H10" s="40">
        <f t="shared" si="8"/>
        <v>1</v>
      </c>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c r="EI10" s="41"/>
      <c r="EJ10" s="41"/>
      <c r="EK10" s="41"/>
    </row>
    <row r="11" spans="1:141" s="42" customFormat="1" ht="21" x14ac:dyDescent="0.25">
      <c r="A11" s="7"/>
      <c r="B11" s="36" t="s">
        <v>35</v>
      </c>
      <c r="C11" s="57" t="s">
        <v>25</v>
      </c>
      <c r="D11" s="37">
        <v>1</v>
      </c>
      <c r="E11" s="38">
        <v>46122</v>
      </c>
      <c r="F11" s="39">
        <v>46122</v>
      </c>
      <c r="G11" s="40"/>
      <c r="H11" s="40"/>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c r="EI11" s="41"/>
      <c r="EJ11" s="41"/>
      <c r="EK11" s="41"/>
    </row>
    <row r="12" spans="1:141" s="42" customFormat="1" ht="21" x14ac:dyDescent="0.25">
      <c r="A12" s="7"/>
      <c r="B12" s="36" t="s">
        <v>34</v>
      </c>
      <c r="C12" s="57" t="s">
        <v>25</v>
      </c>
      <c r="D12" s="37">
        <v>1</v>
      </c>
      <c r="E12" s="38">
        <v>46122</v>
      </c>
      <c r="F12" s="39">
        <v>46122</v>
      </c>
      <c r="G12" s="40"/>
      <c r="H12" s="40"/>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c r="EJ12" s="41"/>
      <c r="EK12" s="41"/>
    </row>
    <row r="13" spans="1:141" s="42" customFormat="1" ht="21" x14ac:dyDescent="0.25">
      <c r="A13" s="7"/>
      <c r="B13" s="36" t="s">
        <v>36</v>
      </c>
      <c r="C13" s="57" t="s">
        <v>25</v>
      </c>
      <c r="D13" s="37">
        <v>1</v>
      </c>
      <c r="E13" s="38">
        <v>46122</v>
      </c>
      <c r="F13" s="39">
        <v>46122</v>
      </c>
      <c r="G13" s="40"/>
      <c r="H13" s="40">
        <f t="shared" si="8"/>
        <v>1</v>
      </c>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row>
    <row r="14" spans="1:141" s="42" customFormat="1" ht="21" x14ac:dyDescent="0.25">
      <c r="A14" s="7"/>
      <c r="B14" s="36"/>
      <c r="C14" s="57"/>
      <c r="D14" s="37"/>
      <c r="E14" s="38"/>
      <c r="F14" s="39"/>
      <c r="G14" s="40"/>
      <c r="H14" s="40"/>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41"/>
      <c r="EJ14" s="41"/>
      <c r="EK14" s="41"/>
    </row>
    <row r="15" spans="1:141" s="42" customFormat="1" ht="21" x14ac:dyDescent="0.25">
      <c r="A15" s="7"/>
      <c r="B15" s="66" t="s">
        <v>37</v>
      </c>
      <c r="C15" s="66"/>
      <c r="D15" s="66"/>
      <c r="E15" s="66"/>
      <c r="F15" s="66"/>
      <c r="G15" s="66"/>
      <c r="H15" s="40" t="str">
        <f t="shared" si="8"/>
        <v/>
      </c>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41"/>
      <c r="EJ15" s="41"/>
      <c r="EK15" s="41"/>
    </row>
    <row r="16" spans="1:141" s="42" customFormat="1" ht="21" x14ac:dyDescent="0.25">
      <c r="A16" s="7"/>
      <c r="B16" s="36" t="s">
        <v>38</v>
      </c>
      <c r="C16" s="57" t="s">
        <v>61</v>
      </c>
      <c r="D16" s="37">
        <v>1</v>
      </c>
      <c r="E16" s="38">
        <v>46125</v>
      </c>
      <c r="F16" s="39">
        <v>46128</v>
      </c>
      <c r="G16" s="40"/>
      <c r="H16" s="40">
        <f t="shared" si="8"/>
        <v>4</v>
      </c>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c r="DZ16" s="41"/>
      <c r="EA16" s="41"/>
      <c r="EB16" s="41"/>
      <c r="EC16" s="41"/>
      <c r="ED16" s="41"/>
      <c r="EE16" s="41"/>
      <c r="EF16" s="41"/>
      <c r="EG16" s="41"/>
      <c r="EH16" s="41"/>
      <c r="EI16" s="41"/>
      <c r="EJ16" s="41"/>
      <c r="EK16" s="41"/>
    </row>
    <row r="17" spans="1:141" s="42" customFormat="1" ht="21" x14ac:dyDescent="0.25">
      <c r="A17" s="7"/>
      <c r="B17" s="36" t="s">
        <v>39</v>
      </c>
      <c r="C17" s="57" t="s">
        <v>62</v>
      </c>
      <c r="D17" s="37">
        <v>1</v>
      </c>
      <c r="E17" s="38">
        <v>46125</v>
      </c>
      <c r="F17" s="39">
        <v>46128</v>
      </c>
      <c r="G17" s="40"/>
      <c r="H17" s="40">
        <f t="shared" si="8"/>
        <v>4</v>
      </c>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row>
    <row r="18" spans="1:141" s="42" customFormat="1" ht="21" x14ac:dyDescent="0.25">
      <c r="A18" s="7"/>
      <c r="B18" s="36" t="s">
        <v>40</v>
      </c>
      <c r="C18" s="57" t="s">
        <v>60</v>
      </c>
      <c r="D18" s="37">
        <v>1</v>
      </c>
      <c r="E18" s="38">
        <v>46125</v>
      </c>
      <c r="F18" s="39">
        <v>46128</v>
      </c>
      <c r="G18" s="40"/>
      <c r="H18" s="40">
        <f t="shared" si="8"/>
        <v>4</v>
      </c>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c r="DM18" s="41"/>
      <c r="DN18" s="41"/>
      <c r="DO18" s="41"/>
      <c r="DP18" s="41"/>
      <c r="DQ18" s="41"/>
      <c r="DR18" s="41"/>
      <c r="DS18" s="41"/>
      <c r="DT18" s="41"/>
      <c r="DU18" s="41"/>
      <c r="DV18" s="41"/>
      <c r="DW18" s="41"/>
      <c r="DX18" s="41"/>
      <c r="DY18" s="41"/>
      <c r="DZ18" s="41"/>
      <c r="EA18" s="41"/>
      <c r="EB18" s="41"/>
      <c r="EC18" s="41"/>
      <c r="ED18" s="41"/>
      <c r="EE18" s="41"/>
      <c r="EF18" s="41"/>
      <c r="EG18" s="41"/>
      <c r="EH18" s="41"/>
      <c r="EI18" s="41"/>
      <c r="EJ18" s="41"/>
      <c r="EK18" s="41"/>
    </row>
    <row r="19" spans="1:141" s="42" customFormat="1" ht="21" x14ac:dyDescent="0.25">
      <c r="A19" s="7"/>
      <c r="B19" s="36" t="s">
        <v>41</v>
      </c>
      <c r="C19" s="57" t="s">
        <v>25</v>
      </c>
      <c r="D19" s="37">
        <v>1</v>
      </c>
      <c r="E19" s="38">
        <v>46125</v>
      </c>
      <c r="F19" s="39">
        <v>46128</v>
      </c>
      <c r="G19" s="40"/>
      <c r="H19" s="40"/>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c r="CT19" s="41"/>
      <c r="CU19" s="41"/>
      <c r="CV19" s="41"/>
      <c r="CW19" s="41"/>
      <c r="CX19" s="41"/>
      <c r="CY19" s="41"/>
      <c r="CZ19" s="41"/>
      <c r="DA19" s="41"/>
      <c r="DB19" s="41"/>
      <c r="DC19" s="41"/>
      <c r="DD19" s="41"/>
      <c r="DE19" s="41"/>
      <c r="DF19" s="41"/>
      <c r="DG19" s="41"/>
      <c r="DH19" s="41"/>
      <c r="DI19" s="41"/>
      <c r="DJ19" s="41"/>
      <c r="DK19" s="41"/>
      <c r="DL19" s="41"/>
      <c r="DM19" s="41"/>
      <c r="DN19" s="41"/>
      <c r="DO19" s="41"/>
      <c r="DP19" s="41"/>
      <c r="DQ19" s="41"/>
      <c r="DR19" s="41"/>
      <c r="DS19" s="41"/>
      <c r="DT19" s="41"/>
      <c r="DU19" s="41"/>
      <c r="DV19" s="41"/>
      <c r="DW19" s="41"/>
      <c r="DX19" s="41"/>
      <c r="DY19" s="41"/>
      <c r="DZ19" s="41"/>
      <c r="EA19" s="41"/>
      <c r="EB19" s="41"/>
      <c r="EC19" s="41"/>
      <c r="ED19" s="41"/>
      <c r="EE19" s="41"/>
      <c r="EF19" s="41"/>
      <c r="EG19" s="41"/>
      <c r="EH19" s="41"/>
      <c r="EI19" s="41"/>
      <c r="EJ19" s="41"/>
      <c r="EK19" s="41"/>
    </row>
    <row r="20" spans="1:141" s="42" customFormat="1" ht="21" x14ac:dyDescent="0.25">
      <c r="A20" s="7"/>
      <c r="B20" s="36"/>
      <c r="C20" s="57"/>
      <c r="D20" s="37"/>
      <c r="E20" s="38"/>
      <c r="F20" s="39"/>
      <c r="G20" s="40"/>
      <c r="H20" s="40"/>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c r="CT20" s="41"/>
      <c r="CU20" s="41"/>
      <c r="CV20" s="41"/>
      <c r="CW20" s="41"/>
      <c r="CX20" s="41"/>
      <c r="CY20" s="41"/>
      <c r="CZ20" s="41"/>
      <c r="DA20" s="41"/>
      <c r="DB20" s="41"/>
      <c r="DC20" s="41"/>
      <c r="DD20" s="41"/>
      <c r="DE20" s="41"/>
      <c r="DF20" s="41"/>
      <c r="DG20" s="41"/>
      <c r="DH20" s="41"/>
      <c r="DI20" s="41"/>
      <c r="DJ20" s="41"/>
      <c r="DK20" s="41"/>
      <c r="DL20" s="41"/>
      <c r="DM20" s="41"/>
      <c r="DN20" s="41"/>
      <c r="DO20" s="41"/>
      <c r="DP20" s="41"/>
      <c r="DQ20" s="41"/>
      <c r="DR20" s="41"/>
      <c r="DS20" s="41"/>
      <c r="DT20" s="41"/>
      <c r="DU20" s="41"/>
      <c r="DV20" s="41"/>
      <c r="DW20" s="41"/>
      <c r="DX20" s="41"/>
      <c r="DY20" s="41"/>
      <c r="DZ20" s="41"/>
      <c r="EA20" s="41"/>
      <c r="EB20" s="41"/>
      <c r="EC20" s="41"/>
      <c r="ED20" s="41"/>
      <c r="EE20" s="41"/>
      <c r="EF20" s="41"/>
      <c r="EG20" s="41"/>
      <c r="EH20" s="41"/>
      <c r="EI20" s="41"/>
      <c r="EJ20" s="41"/>
      <c r="EK20" s="41"/>
    </row>
    <row r="21" spans="1:141" s="42" customFormat="1" ht="21" x14ac:dyDescent="0.25">
      <c r="A21" s="7"/>
      <c r="B21" s="66" t="s">
        <v>42</v>
      </c>
      <c r="C21" s="66"/>
      <c r="D21" s="66"/>
      <c r="E21" s="66"/>
      <c r="F21" s="66"/>
      <c r="G21" s="66"/>
      <c r="H21" s="40" t="str">
        <f t="shared" si="8"/>
        <v/>
      </c>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c r="EC21" s="41"/>
      <c r="ED21" s="41"/>
      <c r="EE21" s="41"/>
      <c r="EF21" s="41"/>
      <c r="EG21" s="41"/>
      <c r="EH21" s="41"/>
      <c r="EI21" s="41"/>
      <c r="EJ21" s="41"/>
      <c r="EK21" s="41"/>
    </row>
    <row r="22" spans="1:141" s="42" customFormat="1" ht="21" x14ac:dyDescent="0.25">
      <c r="A22" s="7"/>
      <c r="B22" s="36" t="s">
        <v>43</v>
      </c>
      <c r="C22" s="57" t="s">
        <v>60</v>
      </c>
      <c r="D22" s="37">
        <v>1</v>
      </c>
      <c r="E22" s="39">
        <v>46132</v>
      </c>
      <c r="F22" s="39">
        <v>46136</v>
      </c>
      <c r="G22" s="40"/>
      <c r="H22" s="40">
        <f t="shared" si="8"/>
        <v>5</v>
      </c>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c r="EC22" s="41"/>
      <c r="ED22" s="41"/>
      <c r="EE22" s="41"/>
      <c r="EF22" s="41"/>
      <c r="EG22" s="41"/>
      <c r="EH22" s="41"/>
      <c r="EI22" s="41"/>
      <c r="EJ22" s="41"/>
      <c r="EK22" s="41"/>
    </row>
    <row r="23" spans="1:141" s="42" customFormat="1" ht="21" x14ac:dyDescent="0.25">
      <c r="A23" s="7"/>
      <c r="B23" s="36" t="s">
        <v>44</v>
      </c>
      <c r="C23" s="57" t="s">
        <v>62</v>
      </c>
      <c r="D23" s="37">
        <v>1</v>
      </c>
      <c r="E23" s="39">
        <v>46132</v>
      </c>
      <c r="F23" s="39">
        <v>46136</v>
      </c>
      <c r="G23" s="40"/>
      <c r="H23" s="40">
        <f t="shared" si="8"/>
        <v>5</v>
      </c>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41"/>
      <c r="CE23" s="41"/>
      <c r="CF23" s="41"/>
      <c r="CG23" s="41"/>
      <c r="CH23" s="41"/>
      <c r="CI23" s="41"/>
      <c r="CJ23" s="41"/>
      <c r="CK23" s="41"/>
      <c r="CL23" s="41"/>
      <c r="CM23" s="41"/>
      <c r="CN23" s="41"/>
      <c r="CO23" s="41"/>
      <c r="CP23" s="41"/>
      <c r="CQ23" s="41"/>
      <c r="CR23" s="41"/>
      <c r="CS23" s="41"/>
      <c r="CT23" s="41"/>
      <c r="CU23" s="41"/>
      <c r="CV23" s="41"/>
      <c r="CW23" s="41"/>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41"/>
      <c r="EC23" s="41"/>
      <c r="ED23" s="41"/>
      <c r="EE23" s="41"/>
      <c r="EF23" s="41"/>
      <c r="EG23" s="41"/>
      <c r="EH23" s="41"/>
      <c r="EI23" s="41"/>
      <c r="EJ23" s="41"/>
      <c r="EK23" s="41"/>
    </row>
    <row r="24" spans="1:141" s="42" customFormat="1" ht="21" x14ac:dyDescent="0.25">
      <c r="A24" s="7"/>
      <c r="B24" s="36" t="s">
        <v>45</v>
      </c>
      <c r="C24" s="57" t="s">
        <v>61</v>
      </c>
      <c r="D24" s="37">
        <v>1</v>
      </c>
      <c r="E24" s="39">
        <v>46132</v>
      </c>
      <c r="F24" s="39">
        <v>46136</v>
      </c>
      <c r="G24" s="40"/>
      <c r="H24" s="40">
        <f t="shared" si="8"/>
        <v>5</v>
      </c>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41"/>
      <c r="DX24" s="41"/>
      <c r="DY24" s="41"/>
      <c r="DZ24" s="41"/>
      <c r="EA24" s="41"/>
      <c r="EB24" s="41"/>
      <c r="EC24" s="41"/>
      <c r="ED24" s="41"/>
      <c r="EE24" s="41"/>
      <c r="EF24" s="41"/>
      <c r="EG24" s="41"/>
      <c r="EH24" s="41"/>
      <c r="EI24" s="41"/>
      <c r="EJ24" s="41"/>
      <c r="EK24" s="41"/>
    </row>
    <row r="25" spans="1:141" s="42" customFormat="1" ht="21" x14ac:dyDescent="0.25">
      <c r="A25" s="7"/>
      <c r="B25" s="36" t="s">
        <v>46</v>
      </c>
      <c r="C25" s="57" t="s">
        <v>26</v>
      </c>
      <c r="D25" s="37">
        <v>1</v>
      </c>
      <c r="E25" s="39">
        <v>46132</v>
      </c>
      <c r="F25" s="39">
        <v>46136</v>
      </c>
      <c r="G25" s="40"/>
      <c r="H25" s="40">
        <f t="shared" si="8"/>
        <v>5</v>
      </c>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41"/>
      <c r="CM25" s="41"/>
      <c r="CN25" s="41"/>
      <c r="CO25" s="41"/>
      <c r="CP25" s="41"/>
      <c r="CQ25" s="41"/>
      <c r="CR25" s="41"/>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c r="DY25" s="41"/>
      <c r="DZ25" s="41"/>
      <c r="EA25" s="41"/>
      <c r="EB25" s="41"/>
      <c r="EC25" s="41"/>
      <c r="ED25" s="41"/>
      <c r="EE25" s="41"/>
      <c r="EF25" s="41"/>
      <c r="EG25" s="41"/>
      <c r="EH25" s="41"/>
      <c r="EI25" s="41"/>
      <c r="EJ25" s="41"/>
      <c r="EK25" s="41"/>
    </row>
    <row r="26" spans="1:141" s="42" customFormat="1" ht="21" x14ac:dyDescent="0.25">
      <c r="A26" s="7"/>
      <c r="B26" s="36" t="s">
        <v>63</v>
      </c>
      <c r="C26" s="57" t="s">
        <v>25</v>
      </c>
      <c r="D26" s="37">
        <v>1</v>
      </c>
      <c r="E26" s="39">
        <v>46132</v>
      </c>
      <c r="F26" s="39">
        <v>46136</v>
      </c>
      <c r="G26" s="40"/>
      <c r="H26" s="40">
        <f t="shared" si="8"/>
        <v>5</v>
      </c>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c r="DC26" s="41"/>
      <c r="DD26" s="41"/>
      <c r="DE26" s="41"/>
      <c r="DF26" s="41"/>
      <c r="DG26" s="41"/>
      <c r="DH26" s="41"/>
      <c r="DI26" s="41"/>
      <c r="DJ26" s="41"/>
      <c r="DK26" s="41"/>
      <c r="DL26" s="41"/>
      <c r="DM26" s="41"/>
      <c r="DN26" s="41"/>
      <c r="DO26" s="41"/>
      <c r="DP26" s="41"/>
      <c r="DQ26" s="41"/>
      <c r="DR26" s="41"/>
      <c r="DS26" s="41"/>
      <c r="DT26" s="41"/>
      <c r="DU26" s="41"/>
      <c r="DV26" s="41"/>
      <c r="DW26" s="41"/>
      <c r="DX26" s="41"/>
      <c r="DY26" s="41"/>
      <c r="DZ26" s="41"/>
      <c r="EA26" s="41"/>
      <c r="EB26" s="41"/>
      <c r="EC26" s="41"/>
      <c r="ED26" s="41"/>
      <c r="EE26" s="41"/>
      <c r="EF26" s="41"/>
      <c r="EG26" s="41"/>
      <c r="EH26" s="41"/>
      <c r="EI26" s="41"/>
      <c r="EJ26" s="41"/>
      <c r="EK26" s="41"/>
    </row>
    <row r="27" spans="1:141" s="42" customFormat="1" ht="21" x14ac:dyDescent="0.25">
      <c r="A27" s="7"/>
      <c r="B27" s="36" t="s">
        <v>47</v>
      </c>
      <c r="C27" s="57" t="s">
        <v>25</v>
      </c>
      <c r="D27" s="37">
        <v>1</v>
      </c>
      <c r="E27" s="39">
        <v>46132</v>
      </c>
      <c r="F27" s="39">
        <v>46136</v>
      </c>
      <c r="G27" s="40"/>
      <c r="H27" s="40">
        <f t="shared" si="8"/>
        <v>5</v>
      </c>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c r="EH27" s="41"/>
      <c r="EI27" s="41"/>
      <c r="EJ27" s="41"/>
      <c r="EK27" s="41"/>
    </row>
    <row r="28" spans="1:141" s="42" customFormat="1" ht="21" x14ac:dyDescent="0.25">
      <c r="A28" s="7"/>
      <c r="B28" s="36"/>
      <c r="C28" s="57"/>
      <c r="D28" s="37"/>
      <c r="E28" s="38"/>
      <c r="F28" s="39"/>
      <c r="G28" s="40"/>
      <c r="H28" s="40" t="str">
        <f t="shared" ref="H28:H33" si="9">IF(OR(ISBLANK(task_start),ISBLANK(task_end)),"",task_end-task_start+1)</f>
        <v/>
      </c>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41"/>
      <c r="DM28" s="41"/>
      <c r="DN28" s="41"/>
      <c r="DO28" s="41"/>
      <c r="DP28" s="41"/>
      <c r="DQ28" s="41"/>
      <c r="DR28" s="41"/>
      <c r="DS28" s="41"/>
      <c r="DT28" s="41"/>
      <c r="DU28" s="41"/>
      <c r="DV28" s="41"/>
      <c r="DW28" s="41"/>
      <c r="DX28" s="41"/>
      <c r="DY28" s="41"/>
      <c r="DZ28" s="41"/>
      <c r="EA28" s="41"/>
      <c r="EB28" s="41"/>
      <c r="EC28" s="41"/>
      <c r="ED28" s="41"/>
      <c r="EE28" s="41"/>
      <c r="EF28" s="41"/>
      <c r="EG28" s="41"/>
      <c r="EH28" s="41"/>
      <c r="EI28" s="41"/>
      <c r="EJ28" s="41"/>
      <c r="EK28" s="41"/>
    </row>
    <row r="29" spans="1:141" s="42" customFormat="1" ht="21" x14ac:dyDescent="0.25">
      <c r="A29" s="7"/>
      <c r="B29" s="66" t="s">
        <v>48</v>
      </c>
      <c r="C29" s="66"/>
      <c r="D29" s="66"/>
      <c r="E29" s="66"/>
      <c r="F29" s="66"/>
      <c r="G29" s="66"/>
      <c r="H29" s="40" t="str">
        <f t="shared" si="9"/>
        <v/>
      </c>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c r="DY29" s="41"/>
      <c r="DZ29" s="41"/>
      <c r="EA29" s="41"/>
      <c r="EB29" s="41"/>
      <c r="EC29" s="41"/>
      <c r="ED29" s="41"/>
      <c r="EE29" s="41"/>
      <c r="EF29" s="41"/>
      <c r="EG29" s="41"/>
      <c r="EH29" s="41"/>
      <c r="EI29" s="41"/>
      <c r="EJ29" s="41"/>
      <c r="EK29" s="41"/>
    </row>
    <row r="30" spans="1:141" s="42" customFormat="1" ht="21" x14ac:dyDescent="0.25">
      <c r="A30" s="7"/>
      <c r="B30" s="36" t="s">
        <v>49</v>
      </c>
      <c r="C30" s="57" t="s">
        <v>61</v>
      </c>
      <c r="D30" s="37">
        <v>1</v>
      </c>
      <c r="E30" s="39">
        <v>46139</v>
      </c>
      <c r="F30" s="39">
        <v>46143</v>
      </c>
      <c r="G30" s="40"/>
      <c r="H30" s="40">
        <f t="shared" si="9"/>
        <v>5</v>
      </c>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c r="DY30" s="41"/>
      <c r="DZ30" s="41"/>
      <c r="EA30" s="41"/>
      <c r="EB30" s="41"/>
      <c r="EC30" s="41"/>
      <c r="ED30" s="41"/>
      <c r="EE30" s="41"/>
      <c r="EF30" s="41"/>
      <c r="EG30" s="41"/>
      <c r="EH30" s="41"/>
      <c r="EI30" s="41"/>
      <c r="EJ30" s="41"/>
      <c r="EK30" s="41"/>
    </row>
    <row r="31" spans="1:141" s="42" customFormat="1" ht="30" x14ac:dyDescent="0.25">
      <c r="A31" s="7"/>
      <c r="B31" s="36" t="s">
        <v>50</v>
      </c>
      <c r="C31" s="57" t="s">
        <v>64</v>
      </c>
      <c r="D31" s="37">
        <v>1</v>
      </c>
      <c r="E31" s="39">
        <v>46139</v>
      </c>
      <c r="F31" s="39">
        <v>46143</v>
      </c>
      <c r="G31" s="40"/>
      <c r="H31" s="40">
        <f t="shared" si="9"/>
        <v>5</v>
      </c>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41"/>
      <c r="EC31" s="41"/>
      <c r="ED31" s="41"/>
      <c r="EE31" s="41"/>
      <c r="EF31" s="41"/>
      <c r="EG31" s="41"/>
      <c r="EH31" s="41"/>
      <c r="EI31" s="41"/>
      <c r="EJ31" s="41"/>
      <c r="EK31" s="41"/>
    </row>
    <row r="32" spans="1:141" s="42" customFormat="1" ht="21" x14ac:dyDescent="0.25">
      <c r="A32" s="7"/>
      <c r="B32" s="36" t="s">
        <v>51</v>
      </c>
      <c r="C32" s="57" t="s">
        <v>25</v>
      </c>
      <c r="D32" s="37">
        <v>1</v>
      </c>
      <c r="E32" s="39">
        <v>46139</v>
      </c>
      <c r="F32" s="39">
        <v>46143</v>
      </c>
      <c r="G32" s="40"/>
      <c r="H32" s="40">
        <f t="shared" si="9"/>
        <v>5</v>
      </c>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c r="CT32" s="41"/>
      <c r="CU32" s="41"/>
      <c r="CV32" s="41"/>
      <c r="CW32" s="41"/>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41"/>
      <c r="DX32" s="41"/>
      <c r="DY32" s="41"/>
      <c r="DZ32" s="41"/>
      <c r="EA32" s="41"/>
      <c r="EB32" s="41"/>
      <c r="EC32" s="41"/>
      <c r="ED32" s="41"/>
      <c r="EE32" s="41"/>
      <c r="EF32" s="41"/>
      <c r="EG32" s="41"/>
      <c r="EH32" s="41"/>
      <c r="EI32" s="41"/>
      <c r="EJ32" s="41"/>
      <c r="EK32" s="41"/>
    </row>
    <row r="33" spans="1:141" s="42" customFormat="1" ht="21" x14ac:dyDescent="0.25">
      <c r="A33" s="7"/>
      <c r="B33" s="36" t="s">
        <v>52</v>
      </c>
      <c r="C33" s="57" t="s">
        <v>25</v>
      </c>
      <c r="D33" s="37">
        <v>1</v>
      </c>
      <c r="E33" s="39">
        <v>46139</v>
      </c>
      <c r="F33" s="39">
        <v>46143</v>
      </c>
      <c r="G33" s="40"/>
      <c r="H33" s="40">
        <f t="shared" si="9"/>
        <v>5</v>
      </c>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41"/>
      <c r="DX33" s="41"/>
      <c r="DY33" s="41"/>
      <c r="DZ33" s="41"/>
      <c r="EA33" s="41"/>
      <c r="EB33" s="41"/>
      <c r="EC33" s="41"/>
      <c r="ED33" s="41"/>
      <c r="EE33" s="41"/>
      <c r="EF33" s="41"/>
      <c r="EG33" s="41"/>
      <c r="EH33" s="41"/>
      <c r="EI33" s="41"/>
      <c r="EJ33" s="41"/>
      <c r="EK33" s="41"/>
    </row>
    <row r="34" spans="1:141" s="42" customFormat="1" ht="21" x14ac:dyDescent="0.25">
      <c r="A34" s="7"/>
      <c r="B34" s="36"/>
      <c r="C34" s="57"/>
      <c r="D34" s="37"/>
      <c r="E34" s="38"/>
      <c r="F34" s="39"/>
      <c r="G34" s="40"/>
      <c r="H34" s="40" t="str">
        <f>IF(OR(ISBLANK(task_start),ISBLANK(task_end)),"",task_end-task_start+1)</f>
        <v/>
      </c>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c r="CP34" s="41"/>
      <c r="CQ34" s="41"/>
      <c r="CR34" s="41"/>
      <c r="CS34" s="41"/>
      <c r="CT34" s="41"/>
      <c r="CU34" s="41"/>
      <c r="CV34" s="41"/>
      <c r="CW34" s="41"/>
      <c r="CX34" s="41"/>
      <c r="CY34" s="41"/>
      <c r="CZ34" s="41"/>
      <c r="DA34" s="41"/>
      <c r="DB34" s="41"/>
      <c r="DC34" s="41"/>
      <c r="DD34" s="41"/>
      <c r="DE34" s="41"/>
      <c r="DF34" s="41"/>
      <c r="DG34" s="41"/>
      <c r="DH34" s="41"/>
      <c r="DI34" s="41"/>
      <c r="DJ34" s="41"/>
      <c r="DK34" s="41"/>
      <c r="DL34" s="41"/>
      <c r="DM34" s="41"/>
      <c r="DN34" s="41"/>
      <c r="DO34" s="41"/>
      <c r="DP34" s="41"/>
      <c r="DQ34" s="41"/>
      <c r="DR34" s="41"/>
      <c r="DS34" s="41"/>
      <c r="DT34" s="41"/>
      <c r="DU34" s="41"/>
      <c r="DV34" s="41"/>
      <c r="DW34" s="41"/>
      <c r="DX34" s="41"/>
      <c r="DY34" s="41"/>
      <c r="DZ34" s="41"/>
      <c r="EA34" s="41"/>
      <c r="EB34" s="41"/>
      <c r="EC34" s="41"/>
      <c r="ED34" s="41"/>
      <c r="EE34" s="41"/>
      <c r="EF34" s="41"/>
      <c r="EG34" s="41"/>
      <c r="EH34" s="41"/>
      <c r="EI34" s="41"/>
      <c r="EJ34" s="41"/>
      <c r="EK34" s="41"/>
    </row>
    <row r="35" spans="1:141" s="42" customFormat="1" ht="21" x14ac:dyDescent="0.25">
      <c r="A35" s="7"/>
      <c r="B35" s="49" t="s">
        <v>53</v>
      </c>
      <c r="C35" s="58"/>
      <c r="D35" s="50"/>
      <c r="E35" s="51"/>
      <c r="F35" s="52"/>
      <c r="G35" s="53"/>
      <c r="H35" s="40" t="str">
        <f>IF(OR(ISBLANK(task_start),ISBLANK(task_end)),"",task_end-task_start+1)</f>
        <v/>
      </c>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41"/>
      <c r="CE35" s="41"/>
      <c r="CF35" s="41"/>
      <c r="CG35" s="41"/>
      <c r="CH35" s="41"/>
      <c r="CI35" s="41"/>
      <c r="CJ35" s="41"/>
      <c r="CK35" s="41"/>
      <c r="CL35" s="41"/>
      <c r="CM35" s="41"/>
      <c r="CN35" s="41"/>
      <c r="CO35" s="41"/>
      <c r="CP35" s="41"/>
      <c r="CQ35" s="41"/>
      <c r="CR35" s="41"/>
      <c r="CS35" s="41"/>
      <c r="CT35" s="41"/>
      <c r="CU35" s="41"/>
      <c r="CV35" s="41"/>
      <c r="CW35" s="41"/>
      <c r="CX35" s="41"/>
      <c r="CY35" s="41"/>
      <c r="CZ35" s="41"/>
      <c r="DA35" s="41"/>
      <c r="DB35" s="41"/>
      <c r="DC35" s="41"/>
      <c r="DD35" s="41"/>
      <c r="DE35" s="41"/>
      <c r="DF35" s="41"/>
      <c r="DG35" s="41"/>
      <c r="DH35" s="41"/>
      <c r="DI35" s="41"/>
      <c r="DJ35" s="41"/>
      <c r="DK35" s="41"/>
      <c r="DL35" s="41"/>
      <c r="DM35" s="41"/>
      <c r="DN35" s="41"/>
      <c r="DO35" s="41"/>
      <c r="DP35" s="41"/>
      <c r="DQ35" s="41"/>
      <c r="DR35" s="41"/>
      <c r="DS35" s="41"/>
      <c r="DT35" s="41"/>
      <c r="DU35" s="41"/>
      <c r="DV35" s="41"/>
      <c r="DW35" s="41"/>
      <c r="DX35" s="41"/>
      <c r="DY35" s="41"/>
      <c r="DZ35" s="41"/>
      <c r="EA35" s="41"/>
      <c r="EB35" s="41"/>
      <c r="EC35" s="41"/>
      <c r="ED35" s="41"/>
      <c r="EE35" s="41"/>
      <c r="EF35" s="41"/>
      <c r="EG35" s="41"/>
      <c r="EH35" s="41"/>
      <c r="EI35" s="41"/>
      <c r="EJ35" s="41"/>
      <c r="EK35" s="41"/>
    </row>
    <row r="36" spans="1:141" s="42" customFormat="1" ht="21" x14ac:dyDescent="0.25">
      <c r="A36" s="7"/>
      <c r="B36" s="36" t="s">
        <v>54</v>
      </c>
      <c r="C36" s="57" t="s">
        <v>61</v>
      </c>
      <c r="D36" s="37">
        <v>1</v>
      </c>
      <c r="E36" s="38">
        <v>46146</v>
      </c>
      <c r="F36" s="38">
        <v>46148</v>
      </c>
      <c r="G36" s="40"/>
      <c r="H36" s="40"/>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41"/>
      <c r="CY36" s="41"/>
      <c r="CZ36" s="41"/>
      <c r="DA36" s="41"/>
      <c r="DB36" s="41"/>
      <c r="DC36" s="41"/>
      <c r="DD36" s="41"/>
      <c r="DE36" s="41"/>
      <c r="DF36" s="41"/>
      <c r="DG36" s="41"/>
      <c r="DH36" s="41"/>
      <c r="DI36" s="41"/>
      <c r="DJ36" s="41"/>
      <c r="DK36" s="41"/>
      <c r="DL36" s="41"/>
      <c r="DM36" s="41"/>
      <c r="DN36" s="41"/>
      <c r="DO36" s="41"/>
      <c r="DP36" s="41"/>
      <c r="DQ36" s="41"/>
      <c r="DR36" s="41"/>
      <c r="DS36" s="41"/>
      <c r="DT36" s="41"/>
      <c r="DU36" s="41"/>
      <c r="DV36" s="41"/>
      <c r="DW36" s="41"/>
      <c r="DX36" s="41"/>
      <c r="DY36" s="41"/>
      <c r="DZ36" s="41"/>
      <c r="EA36" s="41"/>
      <c r="EB36" s="41"/>
      <c r="EC36" s="41"/>
      <c r="ED36" s="41"/>
      <c r="EE36" s="41"/>
      <c r="EF36" s="41"/>
      <c r="EG36" s="41"/>
      <c r="EH36" s="41"/>
      <c r="EI36" s="41"/>
      <c r="EJ36" s="41"/>
      <c r="EK36" s="41"/>
    </row>
    <row r="37" spans="1:141" s="42" customFormat="1" ht="30" x14ac:dyDescent="0.25">
      <c r="A37" s="7"/>
      <c r="B37" s="36" t="s">
        <v>55</v>
      </c>
      <c r="C37" s="57" t="s">
        <v>64</v>
      </c>
      <c r="D37" s="37">
        <v>1</v>
      </c>
      <c r="E37" s="38">
        <v>46146</v>
      </c>
      <c r="F37" s="38">
        <v>46148</v>
      </c>
      <c r="G37" s="40"/>
      <c r="H37" s="40"/>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c r="CT37" s="41"/>
      <c r="CU37" s="41"/>
      <c r="CV37" s="41"/>
      <c r="CW37" s="41"/>
      <c r="CX37" s="41"/>
      <c r="CY37" s="41"/>
      <c r="CZ37" s="41"/>
      <c r="DA37" s="41"/>
      <c r="DB37" s="41"/>
      <c r="DC37" s="41"/>
      <c r="DD37" s="41"/>
      <c r="DE37" s="41"/>
      <c r="DF37" s="41"/>
      <c r="DG37" s="41"/>
      <c r="DH37" s="41"/>
      <c r="DI37" s="41"/>
      <c r="DJ37" s="41"/>
      <c r="DK37" s="41"/>
      <c r="DL37" s="41"/>
      <c r="DM37" s="41"/>
      <c r="DN37" s="41"/>
      <c r="DO37" s="41"/>
      <c r="DP37" s="41"/>
      <c r="DQ37" s="41"/>
      <c r="DR37" s="41"/>
      <c r="DS37" s="41"/>
      <c r="DT37" s="41"/>
      <c r="DU37" s="41"/>
      <c r="DV37" s="41"/>
      <c r="DW37" s="41"/>
      <c r="DX37" s="41"/>
      <c r="DY37" s="41"/>
      <c r="DZ37" s="41"/>
      <c r="EA37" s="41"/>
      <c r="EB37" s="41"/>
      <c r="EC37" s="41"/>
      <c r="ED37" s="41"/>
      <c r="EE37" s="41"/>
      <c r="EF37" s="41"/>
      <c r="EG37" s="41"/>
      <c r="EH37" s="41"/>
      <c r="EI37" s="41"/>
      <c r="EJ37" s="41"/>
      <c r="EK37" s="41"/>
    </row>
    <row r="38" spans="1:141" s="42" customFormat="1" ht="21" x14ac:dyDescent="0.25">
      <c r="A38" s="7"/>
      <c r="B38" s="36" t="s">
        <v>56</v>
      </c>
      <c r="C38" s="57" t="s">
        <v>26</v>
      </c>
      <c r="D38" s="37">
        <v>1</v>
      </c>
      <c r="E38" s="38">
        <v>46146</v>
      </c>
      <c r="F38" s="38">
        <v>46148</v>
      </c>
      <c r="G38" s="40"/>
      <c r="H38" s="40"/>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c r="DY38" s="41"/>
      <c r="DZ38" s="41"/>
      <c r="EA38" s="41"/>
      <c r="EB38" s="41"/>
      <c r="EC38" s="41"/>
      <c r="ED38" s="41"/>
      <c r="EE38" s="41"/>
      <c r="EF38" s="41"/>
      <c r="EG38" s="41"/>
      <c r="EH38" s="41"/>
      <c r="EI38" s="41"/>
      <c r="EJ38" s="41"/>
      <c r="EK38" s="41"/>
    </row>
    <row r="39" spans="1:141" s="42" customFormat="1" ht="21" x14ac:dyDescent="0.25">
      <c r="A39" s="7"/>
      <c r="B39" s="36" t="s">
        <v>57</v>
      </c>
      <c r="C39" s="57" t="s">
        <v>25</v>
      </c>
      <c r="D39" s="37">
        <v>1</v>
      </c>
      <c r="E39" s="38">
        <v>46146</v>
      </c>
      <c r="F39" s="38">
        <v>46148</v>
      </c>
      <c r="G39" s="40"/>
      <c r="H39" s="40"/>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c r="CT39" s="41"/>
      <c r="CU39" s="41"/>
      <c r="CV39" s="41"/>
      <c r="CW39" s="41"/>
      <c r="CX39" s="41"/>
      <c r="CY39" s="41"/>
      <c r="CZ39" s="41"/>
      <c r="DA39" s="41"/>
      <c r="DB39" s="41"/>
      <c r="DC39" s="41"/>
      <c r="DD39" s="41"/>
      <c r="DE39" s="41"/>
      <c r="DF39" s="41"/>
      <c r="DG39" s="41"/>
      <c r="DH39" s="41"/>
      <c r="DI39" s="41"/>
      <c r="DJ39" s="41"/>
      <c r="DK39" s="41"/>
      <c r="DL39" s="41"/>
      <c r="DM39" s="41"/>
      <c r="DN39" s="41"/>
      <c r="DO39" s="41"/>
      <c r="DP39" s="41"/>
      <c r="DQ39" s="41"/>
      <c r="DR39" s="41"/>
      <c r="DS39" s="41"/>
      <c r="DT39" s="41"/>
      <c r="DU39" s="41"/>
      <c r="DV39" s="41"/>
      <c r="DW39" s="41"/>
      <c r="DX39" s="41"/>
      <c r="DY39" s="41"/>
      <c r="DZ39" s="41"/>
      <c r="EA39" s="41"/>
      <c r="EB39" s="41"/>
      <c r="EC39" s="41"/>
      <c r="ED39" s="41"/>
      <c r="EE39" s="41"/>
      <c r="EF39" s="41"/>
      <c r="EG39" s="41"/>
      <c r="EH39" s="41"/>
      <c r="EI39" s="41"/>
      <c r="EJ39" s="41"/>
      <c r="EK39" s="41"/>
    </row>
    <row r="40" spans="1:141" s="42" customFormat="1" ht="21" x14ac:dyDescent="0.25">
      <c r="A40" s="7"/>
      <c r="B40" s="36"/>
      <c r="C40" s="57"/>
      <c r="D40" s="37"/>
      <c r="E40" s="38"/>
      <c r="F40" s="39"/>
      <c r="G40" s="40"/>
      <c r="H40" s="40"/>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41"/>
      <c r="CE40" s="41"/>
      <c r="CF40" s="41"/>
      <c r="CG40" s="41"/>
      <c r="CH40" s="41"/>
      <c r="CI40" s="41"/>
      <c r="CJ40" s="41"/>
      <c r="CK40" s="41"/>
      <c r="CL40" s="41"/>
      <c r="CM40" s="41"/>
      <c r="CN40" s="41"/>
      <c r="CO40" s="41"/>
      <c r="CP40" s="41"/>
      <c r="CQ40" s="41"/>
      <c r="CR40" s="41"/>
      <c r="CS40" s="41"/>
      <c r="CT40" s="41"/>
      <c r="CU40" s="41"/>
      <c r="CV40" s="41"/>
      <c r="CW40" s="41"/>
      <c r="CX40" s="41"/>
      <c r="CY40" s="41"/>
      <c r="CZ40" s="41"/>
      <c r="DA40" s="41"/>
      <c r="DB40" s="41"/>
      <c r="DC40" s="41"/>
      <c r="DD40" s="41"/>
      <c r="DE40" s="41"/>
      <c r="DF40" s="41"/>
      <c r="DG40" s="41"/>
      <c r="DH40" s="41"/>
      <c r="DI40" s="41"/>
      <c r="DJ40" s="41"/>
      <c r="DK40" s="41"/>
      <c r="DL40" s="41"/>
      <c r="DM40" s="41"/>
      <c r="DN40" s="41"/>
      <c r="DO40" s="41"/>
      <c r="DP40" s="41"/>
      <c r="DQ40" s="41"/>
      <c r="DR40" s="41"/>
      <c r="DS40" s="41"/>
      <c r="DT40" s="41"/>
      <c r="DU40" s="41"/>
      <c r="DV40" s="41"/>
      <c r="DW40" s="41"/>
      <c r="DX40" s="41"/>
      <c r="DY40" s="41"/>
      <c r="DZ40" s="41"/>
      <c r="EA40" s="41"/>
      <c r="EB40" s="41"/>
      <c r="EC40" s="41"/>
      <c r="ED40" s="41"/>
      <c r="EE40" s="41"/>
      <c r="EF40" s="41"/>
      <c r="EG40" s="41"/>
      <c r="EH40" s="41"/>
      <c r="EI40" s="41"/>
      <c r="EJ40" s="41"/>
      <c r="EK40" s="41"/>
    </row>
    <row r="41" spans="1:141" s="42" customFormat="1" ht="21" x14ac:dyDescent="0.25">
      <c r="A41" s="7"/>
      <c r="B41" s="49" t="s">
        <v>58</v>
      </c>
      <c r="C41" s="58"/>
      <c r="D41" s="50"/>
      <c r="E41" s="51"/>
      <c r="F41" s="52"/>
      <c r="G41" s="53"/>
      <c r="H41" s="40"/>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41"/>
      <c r="CE41" s="41"/>
      <c r="CF41" s="41"/>
      <c r="CG41" s="41"/>
      <c r="CH41" s="41"/>
      <c r="CI41" s="41"/>
      <c r="CJ41" s="41"/>
      <c r="CK41" s="41"/>
      <c r="CL41" s="41"/>
      <c r="CM41" s="41"/>
      <c r="CN41" s="41"/>
      <c r="CO41" s="41"/>
      <c r="CP41" s="41"/>
      <c r="CQ41" s="41"/>
      <c r="CR41" s="41"/>
      <c r="CS41" s="41"/>
      <c r="CT41" s="41"/>
      <c r="CU41" s="41"/>
      <c r="CV41" s="41"/>
      <c r="CW41" s="41"/>
      <c r="CX41" s="41"/>
      <c r="CY41" s="41"/>
      <c r="CZ41" s="41"/>
      <c r="DA41" s="41"/>
      <c r="DB41" s="41"/>
      <c r="DC41" s="41"/>
      <c r="DD41" s="41"/>
      <c r="DE41" s="41"/>
      <c r="DF41" s="41"/>
      <c r="DG41" s="41"/>
      <c r="DH41" s="41"/>
      <c r="DI41" s="41"/>
      <c r="DJ41" s="41"/>
      <c r="DK41" s="41"/>
      <c r="DL41" s="41"/>
      <c r="DM41" s="41"/>
      <c r="DN41" s="41"/>
      <c r="DO41" s="41"/>
      <c r="DP41" s="41"/>
      <c r="DQ41" s="41"/>
      <c r="DR41" s="41"/>
      <c r="DS41" s="41"/>
      <c r="DT41" s="41"/>
      <c r="DU41" s="41"/>
      <c r="DV41" s="41"/>
      <c r="DW41" s="41"/>
      <c r="DX41" s="41"/>
      <c r="DY41" s="41"/>
      <c r="DZ41" s="41"/>
      <c r="EA41" s="41"/>
      <c r="EB41" s="41"/>
      <c r="EC41" s="41"/>
      <c r="ED41" s="41"/>
      <c r="EE41" s="41"/>
      <c r="EF41" s="41"/>
      <c r="EG41" s="41"/>
      <c r="EH41" s="41"/>
      <c r="EI41" s="41"/>
      <c r="EJ41" s="41"/>
      <c r="EK41" s="41"/>
    </row>
    <row r="42" spans="1:141" s="42" customFormat="1" ht="21" x14ac:dyDescent="0.25">
      <c r="A42" s="7"/>
      <c r="B42" s="36" t="s">
        <v>65</v>
      </c>
      <c r="C42" s="57" t="s">
        <v>25</v>
      </c>
      <c r="D42" s="37">
        <v>0</v>
      </c>
      <c r="E42" s="38">
        <v>46149</v>
      </c>
      <c r="F42" s="39">
        <v>46150</v>
      </c>
      <c r="G42" s="40"/>
      <c r="H42" s="40"/>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41"/>
      <c r="BY42" s="41"/>
      <c r="BZ42" s="41"/>
      <c r="CA42" s="41"/>
      <c r="CB42" s="41"/>
      <c r="CC42" s="41"/>
      <c r="CD42" s="41"/>
      <c r="CE42" s="41"/>
      <c r="CF42" s="41"/>
      <c r="CG42" s="41"/>
      <c r="CH42" s="41"/>
      <c r="CI42" s="41"/>
      <c r="CJ42" s="41"/>
      <c r="CK42" s="41"/>
      <c r="CL42" s="41"/>
      <c r="CM42" s="41"/>
      <c r="CN42" s="41"/>
      <c r="CO42" s="41"/>
      <c r="CP42" s="41"/>
      <c r="CQ42" s="41"/>
      <c r="CR42" s="41"/>
      <c r="CS42" s="41"/>
      <c r="CT42" s="41"/>
      <c r="CU42" s="41"/>
      <c r="CV42" s="41"/>
      <c r="CW42" s="41"/>
      <c r="CX42" s="41"/>
      <c r="CY42" s="41"/>
      <c r="CZ42" s="41"/>
      <c r="DA42" s="41"/>
      <c r="DB42" s="41"/>
      <c r="DC42" s="41"/>
      <c r="DD42" s="41"/>
      <c r="DE42" s="41"/>
      <c r="DF42" s="41"/>
      <c r="DG42" s="41"/>
      <c r="DH42" s="41"/>
      <c r="DI42" s="41"/>
      <c r="DJ42" s="41"/>
      <c r="DK42" s="41"/>
      <c r="DL42" s="41"/>
      <c r="DM42" s="41"/>
      <c r="DN42" s="41"/>
      <c r="DO42" s="41"/>
      <c r="DP42" s="41"/>
      <c r="DQ42" s="41"/>
      <c r="DR42" s="41"/>
      <c r="DS42" s="41"/>
      <c r="DT42" s="41"/>
      <c r="DU42" s="41"/>
      <c r="DV42" s="41"/>
      <c r="DW42" s="41"/>
      <c r="DX42" s="41"/>
      <c r="DY42" s="41"/>
      <c r="DZ42" s="41"/>
      <c r="EA42" s="41"/>
      <c r="EB42" s="41"/>
      <c r="EC42" s="41"/>
      <c r="ED42" s="41"/>
      <c r="EE42" s="41"/>
      <c r="EF42" s="41"/>
      <c r="EG42" s="41"/>
      <c r="EH42" s="41"/>
      <c r="EI42" s="41"/>
      <c r="EJ42" s="41"/>
      <c r="EK42" s="41"/>
    </row>
    <row r="43" spans="1:141" s="42" customFormat="1" ht="21" x14ac:dyDescent="0.25">
      <c r="A43" s="7"/>
      <c r="B43" s="36" t="s">
        <v>59</v>
      </c>
      <c r="C43" s="57" t="s">
        <v>26</v>
      </c>
      <c r="D43" s="37">
        <v>0</v>
      </c>
      <c r="E43" s="38">
        <v>46149</v>
      </c>
      <c r="F43" s="39">
        <v>46150</v>
      </c>
      <c r="G43" s="40"/>
      <c r="H43" s="40"/>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41"/>
      <c r="CE43" s="41"/>
      <c r="CF43" s="41"/>
      <c r="CG43" s="41"/>
      <c r="CH43" s="41"/>
      <c r="CI43" s="41"/>
      <c r="CJ43" s="41"/>
      <c r="CK43" s="41"/>
      <c r="CL43" s="41"/>
      <c r="CM43" s="41"/>
      <c r="CN43" s="41"/>
      <c r="CO43" s="41"/>
      <c r="CP43" s="41"/>
      <c r="CQ43" s="41"/>
      <c r="CR43" s="41"/>
      <c r="CS43" s="41"/>
      <c r="CT43" s="41"/>
      <c r="CU43" s="41"/>
      <c r="CV43" s="41"/>
      <c r="CW43" s="41"/>
      <c r="CX43" s="41"/>
      <c r="CY43" s="41"/>
      <c r="CZ43" s="41"/>
      <c r="DA43" s="41"/>
      <c r="DB43" s="41"/>
      <c r="DC43" s="41"/>
      <c r="DD43" s="41"/>
      <c r="DE43" s="41"/>
      <c r="DF43" s="41"/>
      <c r="DG43" s="41"/>
      <c r="DH43" s="41"/>
      <c r="DI43" s="41"/>
      <c r="DJ43" s="41"/>
      <c r="DK43" s="41"/>
      <c r="DL43" s="41"/>
      <c r="DM43" s="41"/>
      <c r="DN43" s="41"/>
      <c r="DO43" s="41"/>
      <c r="DP43" s="41"/>
      <c r="DQ43" s="41"/>
      <c r="DR43" s="41"/>
      <c r="DS43" s="41"/>
      <c r="DT43" s="41"/>
      <c r="DU43" s="41"/>
      <c r="DV43" s="41"/>
      <c r="DW43" s="41"/>
      <c r="DX43" s="41"/>
      <c r="DY43" s="41"/>
      <c r="DZ43" s="41"/>
      <c r="EA43" s="41"/>
      <c r="EB43" s="41"/>
      <c r="EC43" s="41"/>
      <c r="ED43" s="41"/>
      <c r="EE43" s="41"/>
      <c r="EF43" s="41"/>
      <c r="EG43" s="41"/>
      <c r="EH43" s="41"/>
      <c r="EI43" s="41"/>
      <c r="EJ43" s="41"/>
      <c r="EK43" s="41"/>
    </row>
    <row r="44" spans="1:141" s="42" customFormat="1" ht="21" x14ac:dyDescent="0.25">
      <c r="A44" s="7"/>
      <c r="B44" s="36"/>
      <c r="C44" s="57"/>
      <c r="D44" s="37"/>
      <c r="E44" s="38"/>
      <c r="F44" s="39"/>
      <c r="G44" s="40"/>
      <c r="H44" s="40"/>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41"/>
      <c r="CE44" s="41"/>
      <c r="CF44" s="41"/>
      <c r="CG44" s="41"/>
      <c r="CH44" s="41"/>
      <c r="CI44" s="41"/>
      <c r="CJ44" s="41"/>
      <c r="CK44" s="41"/>
      <c r="CL44" s="41"/>
      <c r="CM44" s="41"/>
      <c r="CN44" s="41"/>
      <c r="CO44" s="41"/>
      <c r="CP44" s="41"/>
      <c r="CQ44" s="41"/>
      <c r="CR44" s="41"/>
      <c r="CS44" s="41"/>
      <c r="CT44" s="41"/>
      <c r="CU44" s="41"/>
      <c r="CV44" s="41"/>
      <c r="CW44" s="41"/>
      <c r="CX44" s="41"/>
      <c r="CY44" s="41"/>
      <c r="CZ44" s="41"/>
      <c r="DA44" s="41"/>
      <c r="DB44" s="41"/>
      <c r="DC44" s="41"/>
      <c r="DD44" s="41"/>
      <c r="DE44" s="41"/>
      <c r="DF44" s="41"/>
      <c r="DG44" s="41"/>
      <c r="DH44" s="41"/>
      <c r="DI44" s="41"/>
      <c r="DJ44" s="41"/>
      <c r="DK44" s="41"/>
      <c r="DL44" s="41"/>
      <c r="DM44" s="41"/>
      <c r="DN44" s="41"/>
      <c r="DO44" s="41"/>
      <c r="DP44" s="41"/>
      <c r="DQ44" s="41"/>
      <c r="DR44" s="41"/>
      <c r="DS44" s="41"/>
      <c r="DT44" s="41"/>
      <c r="DU44" s="41"/>
      <c r="DV44" s="41"/>
      <c r="DW44" s="41"/>
      <c r="DX44" s="41"/>
      <c r="DY44" s="41"/>
      <c r="DZ44" s="41"/>
      <c r="EA44" s="41"/>
      <c r="EB44" s="41"/>
      <c r="EC44" s="41"/>
      <c r="ED44" s="41"/>
      <c r="EE44" s="41"/>
      <c r="EF44" s="41"/>
      <c r="EG44" s="41"/>
      <c r="EH44" s="41"/>
      <c r="EI44" s="41"/>
      <c r="EJ44" s="41"/>
      <c r="EK44" s="41"/>
    </row>
    <row r="45" spans="1:141" s="42" customFormat="1" ht="21" x14ac:dyDescent="0.25">
      <c r="A45" s="7"/>
      <c r="B45" s="43" t="s">
        <v>0</v>
      </c>
      <c r="C45" s="59"/>
      <c r="D45" s="44"/>
      <c r="E45" s="45"/>
      <c r="F45" s="46"/>
      <c r="G45" s="47"/>
      <c r="H45" s="47" t="str">
        <f>IF(OR(ISBLANK(task_start),ISBLANK(task_end)),"",task_end-task_start+1)</f>
        <v/>
      </c>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row>
    <row r="46" spans="1:141" ht="21" x14ac:dyDescent="0.25">
      <c r="A46" s="7"/>
      <c r="G46" s="4"/>
    </row>
    <row r="47" spans="1:141" x14ac:dyDescent="0.25">
      <c r="B47" s="6" t="s">
        <v>12</v>
      </c>
      <c r="C47" s="60"/>
      <c r="F47" s="18">
        <v>43113</v>
      </c>
    </row>
    <row r="48" spans="1:141" x14ac:dyDescent="0.25">
      <c r="B48" s="22" t="s">
        <v>16</v>
      </c>
      <c r="C48" s="61"/>
    </row>
    <row r="49" spans="2:2" x14ac:dyDescent="0.25">
      <c r="B49" s="21" t="s">
        <v>23</v>
      </c>
    </row>
  </sheetData>
  <mergeCells count="24">
    <mergeCell ref="B15:G15"/>
    <mergeCell ref="B21:G21"/>
    <mergeCell ref="B29:G29"/>
    <mergeCell ref="BF4:BL4"/>
    <mergeCell ref="I4:O4"/>
    <mergeCell ref="P4:V4"/>
    <mergeCell ref="W4:AC4"/>
    <mergeCell ref="AD4:AJ4"/>
    <mergeCell ref="J1:AA1"/>
    <mergeCell ref="AK4:AQ4"/>
    <mergeCell ref="AR4:AX4"/>
    <mergeCell ref="AY4:BE4"/>
    <mergeCell ref="B7:G7"/>
    <mergeCell ref="BM4:BS4"/>
    <mergeCell ref="BT4:BZ4"/>
    <mergeCell ref="CA4:CG4"/>
    <mergeCell ref="CH4:CN4"/>
    <mergeCell ref="CO4:CU4"/>
    <mergeCell ref="EE4:EK4"/>
    <mergeCell ref="CV4:DB4"/>
    <mergeCell ref="DC4:DI4"/>
    <mergeCell ref="DJ4:DP4"/>
    <mergeCell ref="DQ4:DW4"/>
    <mergeCell ref="DX4:ED4"/>
  </mergeCells>
  <conditionalFormatting sqref="D16:D20 D8:D14 D30:D45 D22:D28">
    <cfRule type="dataBar" priority="46">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EK45">
    <cfRule type="expression" dxfId="2" priority="3">
      <formula>AND(today&gt;=I$5,today&lt;I$5+1)</formula>
    </cfRule>
  </conditionalFormatting>
  <conditionalFormatting sqref="I7:EK45">
    <cfRule type="expression" dxfId="1" priority="1">
      <formula>AND(task_start&lt;=I$5,ROUNDDOWN((task_end-task_start+1)*task_progress,0)+task_start-1&gt;=I$5)</formula>
    </cfRule>
    <cfRule type="expression" dxfId="0" priority="2"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48" r:id="rId1" xr:uid="{00000000-0004-0000-0000-000000000000}"/>
    <hyperlink ref="B47"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D16:D20 D8:D14 D30:D45 D22:D28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election activeCell="B20" sqref="B20"/>
    </sheetView>
  </sheetViews>
  <sheetFormatPr defaultColWidth="9.140625" defaultRowHeight="12.75" x14ac:dyDescent="0.2"/>
  <cols>
    <col min="1" max="1" width="2.85546875" style="1" customWidth="1"/>
    <col min="2" max="2" width="87.140625" style="8" customWidth="1"/>
    <col min="3" max="16384" width="9.140625" style="1"/>
  </cols>
  <sheetData>
    <row r="1" spans="2:3" ht="46.5" customHeight="1" x14ac:dyDescent="0.2"/>
    <row r="2" spans="2:3" s="10" customFormat="1" ht="15.75" x14ac:dyDescent="0.25">
      <c r="B2" s="9" t="s">
        <v>12</v>
      </c>
      <c r="C2" s="9"/>
    </row>
    <row r="3" spans="2:3" s="12" customFormat="1" ht="13.5" customHeight="1" x14ac:dyDescent="0.25">
      <c r="B3" s="11" t="s">
        <v>16</v>
      </c>
      <c r="C3" s="11"/>
    </row>
    <row r="4" spans="2:3" x14ac:dyDescent="0.2">
      <c r="B4" s="20" t="s">
        <v>23</v>
      </c>
    </row>
    <row r="6" spans="2:3" s="13" customFormat="1" ht="26.25" x14ac:dyDescent="0.4">
      <c r="B6" s="15" t="s">
        <v>11</v>
      </c>
    </row>
    <row r="7" spans="2:3" ht="60" x14ac:dyDescent="0.2">
      <c r="B7" s="16" t="s">
        <v>19</v>
      </c>
    </row>
    <row r="8" spans="2:3" ht="15" x14ac:dyDescent="0.2">
      <c r="B8" s="14"/>
    </row>
    <row r="9" spans="2:3" s="13" customFormat="1" ht="26.25" x14ac:dyDescent="0.4">
      <c r="B9" s="15" t="s">
        <v>13</v>
      </c>
    </row>
    <row r="10" spans="2:3" ht="60" x14ac:dyDescent="0.2">
      <c r="B10" s="16" t="s">
        <v>20</v>
      </c>
    </row>
    <row r="11" spans="2:3" ht="14.25" x14ac:dyDescent="0.2">
      <c r="B11" s="17" t="s">
        <v>18</v>
      </c>
    </row>
    <row r="12" spans="2:3" ht="15" x14ac:dyDescent="0.2">
      <c r="B12" s="14"/>
    </row>
    <row r="13" spans="2:3" ht="14.25" x14ac:dyDescent="0.2">
      <c r="B13" s="23" t="str">
        <f>HYPERLINK("https://vertex42.link/HowToMakeAGanttChart","► Watch How This Gantt Chart Was Created")</f>
        <v>► Watch How This Gantt Chart Was Created</v>
      </c>
    </row>
    <row r="14" spans="2:3" ht="15" x14ac:dyDescent="0.2">
      <c r="B14" s="14"/>
    </row>
    <row r="15" spans="2:3" s="13" customFormat="1" ht="26.25" x14ac:dyDescent="0.4">
      <c r="B15" s="15" t="s">
        <v>10</v>
      </c>
    </row>
    <row r="16" spans="2:3" ht="30" x14ac:dyDescent="0.2">
      <c r="B16" s="16" t="s">
        <v>17</v>
      </c>
    </row>
    <row r="17" spans="2:2" ht="14.25" x14ac:dyDescent="0.2">
      <c r="B17" s="17" t="s">
        <v>4</v>
      </c>
    </row>
    <row r="18" spans="2:2" ht="15" x14ac:dyDescent="0.2">
      <c r="B18" s="14"/>
    </row>
    <row r="19" spans="2:2" s="13" customFormat="1" ht="26.25" x14ac:dyDescent="0.4">
      <c r="B19" s="15" t="s">
        <v>14</v>
      </c>
    </row>
    <row r="20" spans="2:2" ht="60" x14ac:dyDescent="0.2">
      <c r="B20" s="16" t="s">
        <v>24</v>
      </c>
    </row>
    <row r="21" spans="2:2" ht="15" x14ac:dyDescent="0.2">
      <c r="B21" s="14"/>
    </row>
    <row r="22" spans="2:2" ht="75" x14ac:dyDescent="0.2">
      <c r="B22" s="16" t="s">
        <v>15</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Gantt Chart</vt:lpstr>
      <vt:lpstr>About</vt:lpstr>
      <vt:lpstr>'Gantt Chart'!Print_Area</vt:lpstr>
      <vt:lpstr>'Gantt Chart'!Print_Titles</vt:lpstr>
      <vt:lpstr>'Gantt Chart'!task_end</vt:lpstr>
      <vt:lpstr>'Gantt Chart'!task_progress</vt:lpstr>
      <vt:lpstr>'Gantt Chart'!task_start</vt:lpstr>
      <vt:lpstr>'Gantt Chart'!today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 (AI Assisted)</dc:title>
  <dc:creator>Vertex42.com</dc:creator>
  <dc:description>© 2018-2025 Vertex42 LLC. All Rights Reserved.</dc:description>
  <cp:lastModifiedBy>HP</cp:lastModifiedBy>
  <cp:lastPrinted>2019-04-24T14:39:40Z</cp:lastPrinted>
  <dcterms:created xsi:type="dcterms:W3CDTF">2017-01-09T18:01:51Z</dcterms:created>
  <dcterms:modified xsi:type="dcterms:W3CDTF">2026-05-08T00:40:55Z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2019-2025 Vertex42 LLC</vt:lpwstr>
  </property>
  <property fmtid="{D5CDD505-2E9C-101B-9397-08002B2CF9AE}" pid="4" name="Version">
    <vt:lpwstr>1.0.0</vt:lpwstr>
  </property>
</Properties>
</file>