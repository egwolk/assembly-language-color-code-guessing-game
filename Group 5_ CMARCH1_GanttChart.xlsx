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330"/>
  <workbookPr codeName="ThisWorkbook"/>
  <mc:AlternateContent xmlns:mc="http://schemas.openxmlformats.org/markup-compatibility/2006">
    <mc:Choice Requires="x15">
      <x15ac:absPath xmlns:x15ac="http://schemas.microsoft.com/office/spreadsheetml/2010/11/ac" url="C:\Users\HP\Desktop\"/>
    </mc:Choice>
  </mc:AlternateContent>
  <xr:revisionPtr revIDLastSave="0" documentId="13_ncr:1_{1741AE24-B46C-432F-A973-19F484046BFF}" xr6:coauthVersionLast="47" xr6:coauthVersionMax="47" xr10:uidLastSave="{00000000-0000-0000-0000-000000000000}"/>
  <bookViews>
    <workbookView xWindow="-120" yWindow="-120" windowWidth="20730" windowHeight="11760" xr2:uid="{00000000-000D-0000-FFFF-FFFF00000000}"/>
  </bookViews>
  <sheets>
    <sheet name="Gantt Chart" sheetId="11" r:id="rId1"/>
    <sheet name="About" sheetId="12" r:id="rId2"/>
  </sheets>
  <definedNames>
    <definedName name="_xlnm.Print_Area" localSheetId="0">'Gantt Chart'!$1:$45</definedName>
    <definedName name="_xlnm.Print_Titles" localSheetId="0">'Gantt Chart'!$4:$6</definedName>
    <definedName name="task_end" localSheetId="0">'Gantt Chart'!$F1</definedName>
    <definedName name="task_progress" localSheetId="0">'Gantt Chart'!$D1</definedName>
    <definedName name="task_start" localSheetId="0">'Gantt Chart'!$E1</definedName>
    <definedName name="today" localSheetId="0">'Gantt Chart'!$E$3</definedName>
    <definedName name="valuevx">42.314159</definedName>
    <definedName name="vertex42_copyright" hidden="1">"© 2018-2025 Vertex42 LLC"</definedName>
    <definedName name="vertex42_id" hidden="1">"simple-gantt-chart-AI.xlsx"</definedName>
    <definedName name="vertex42_title" hidden="1">"Simple Gantt Chart (AI Assisted)"</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J1" i="11" l="1"/>
  <c r="H34" i="11"/>
  <c r="E3" i="11"/>
  <c r="H9" i="11" l="1"/>
  <c r="H8" i="11"/>
  <c r="H10" i="11"/>
  <c r="H13" i="11"/>
  <c r="H15" i="11"/>
  <c r="H16" i="11"/>
  <c r="H17" i="11"/>
  <c r="H18" i="11"/>
  <c r="H21" i="11"/>
  <c r="H22" i="11"/>
  <c r="H23" i="11"/>
  <c r="H24" i="11"/>
  <c r="H25" i="11"/>
  <c r="H26" i="11"/>
  <c r="H27" i="11"/>
  <c r="H28" i="11"/>
  <c r="H29" i="11"/>
  <c r="H30" i="11"/>
  <c r="H31" i="11"/>
  <c r="H32" i="11"/>
  <c r="H33" i="11"/>
  <c r="H35" i="11"/>
  <c r="I5" i="11" l="1"/>
  <c r="I4" i="11" s="1"/>
  <c r="B13" i="12"/>
  <c r="H45" i="11" l="1"/>
  <c r="H7" i="11"/>
  <c r="I6" i="11" l="1"/>
  <c r="J5" i="11" l="1"/>
  <c r="K5" i="11" s="1"/>
  <c r="L5" i="11" s="1"/>
  <c r="M5" i="11" s="1"/>
  <c r="N5" i="11" s="1"/>
  <c r="O5" i="11" s="1"/>
  <c r="P5" i="11" s="1"/>
  <c r="P4" i="11" l="1"/>
  <c r="Q5" i="11"/>
  <c r="R5" i="11" s="1"/>
  <c r="S5" i="11" s="1"/>
  <c r="T5" i="11" s="1"/>
  <c r="U5" i="11" s="1"/>
  <c r="V5" i="11" s="1"/>
  <c r="W5" i="11" s="1"/>
  <c r="J6" i="11"/>
  <c r="W4" i="11" l="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N5" i="11" l="1"/>
  <c r="BM6" i="11"/>
  <c r="BM4" i="11"/>
  <c r="BL6" i="11"/>
  <c r="AG6" i="11"/>
  <c r="BO5" i="11" l="1"/>
  <c r="BN6" i="11"/>
  <c r="AH6" i="11"/>
  <c r="BP5" i="11" l="1"/>
  <c r="BO6" i="11"/>
  <c r="AI6" i="11"/>
  <c r="BP6" i="11" l="1"/>
  <c r="BQ5" i="11"/>
  <c r="AJ6" i="11"/>
  <c r="BR5" i="11" l="1"/>
  <c r="BQ6" i="11"/>
  <c r="AK6" i="11"/>
  <c r="BR6" i="11" l="1"/>
  <c r="BS5" i="11"/>
  <c r="AL6" i="11"/>
  <c r="BS6" i="11" l="1"/>
  <c r="BT5" i="11"/>
  <c r="AM6" i="11"/>
  <c r="BU5" i="11" l="1"/>
  <c r="BT6" i="11"/>
  <c r="BT4" i="11"/>
  <c r="AN6" i="11"/>
  <c r="BV5" i="11" l="1"/>
  <c r="BU6" i="11"/>
  <c r="AO6" i="11"/>
  <c r="BW5" i="11" l="1"/>
  <c r="BV6" i="11"/>
  <c r="AP6" i="11"/>
  <c r="BW6" i="11" l="1"/>
  <c r="BX5" i="11"/>
  <c r="AQ6" i="11"/>
  <c r="BY5" i="11" l="1"/>
  <c r="BX6" i="11"/>
  <c r="AR6" i="11"/>
  <c r="BY6" i="11" l="1"/>
  <c r="BZ5" i="11"/>
  <c r="BZ6" i="11" l="1"/>
  <c r="CA5" i="11"/>
  <c r="CB5" i="11" l="1"/>
  <c r="CA6" i="11"/>
  <c r="CA4" i="11"/>
  <c r="CC5" i="11" l="1"/>
  <c r="CB6" i="11"/>
  <c r="CD5" i="11" l="1"/>
  <c r="CC6" i="11"/>
  <c r="CE5" i="11" l="1"/>
  <c r="CD6" i="11"/>
  <c r="CE6" i="11" l="1"/>
  <c r="CF5" i="11"/>
  <c r="CF6" i="11" l="1"/>
  <c r="CG5" i="11"/>
  <c r="CG6" i="11" l="1"/>
  <c r="CH5" i="11"/>
  <c r="CI5" i="11" l="1"/>
  <c r="CH4" i="11"/>
  <c r="CH6" i="11"/>
  <c r="CJ5" i="11" l="1"/>
  <c r="CI6" i="11"/>
  <c r="CK5" i="11" l="1"/>
  <c r="CJ6" i="11"/>
  <c r="CK6" i="11" l="1"/>
  <c r="CL5" i="11"/>
  <c r="CM5" i="11" l="1"/>
  <c r="CL6" i="11"/>
  <c r="CN5" i="11" l="1"/>
  <c r="CM6" i="11"/>
  <c r="CN6" i="11" l="1"/>
  <c r="CO5" i="11"/>
  <c r="CO6" i="11" l="1"/>
  <c r="CO4" i="11"/>
  <c r="CP5" i="11"/>
  <c r="CP6" i="11" l="1"/>
  <c r="CQ5" i="11"/>
  <c r="CQ6" i="11" l="1"/>
  <c r="CR5" i="11"/>
  <c r="CS5" i="11" l="1"/>
  <c r="CR6" i="11"/>
  <c r="CT5" i="11" l="1"/>
  <c r="CS6" i="11"/>
  <c r="CU5" i="11" l="1"/>
  <c r="CT6" i="11"/>
  <c r="CU6" i="11" l="1"/>
  <c r="CV5" i="11"/>
  <c r="CV4" i="11" l="1"/>
  <c r="CV6" i="11"/>
  <c r="CW5" i="11"/>
  <c r="CW6" i="11" l="1"/>
  <c r="CX5" i="11"/>
  <c r="CX6" i="11" l="1"/>
  <c r="CY5" i="11"/>
  <c r="CZ5" i="11" l="1"/>
  <c r="CY6" i="11"/>
  <c r="DA5" i="11" l="1"/>
  <c r="CZ6" i="11"/>
  <c r="DB5" i="11" l="1"/>
  <c r="DA6" i="11"/>
  <c r="DB6" i="11" l="1"/>
  <c r="DC5" i="11"/>
  <c r="DD5" i="11" l="1"/>
  <c r="DC6" i="11"/>
  <c r="DC4" i="11"/>
  <c r="DE5" i="11" l="1"/>
  <c r="DD6" i="11"/>
  <c r="DF5" i="11" l="1"/>
  <c r="DE6" i="11"/>
  <c r="DG5" i="11" l="1"/>
  <c r="DF6" i="11"/>
  <c r="DH5" i="11" l="1"/>
  <c r="DG6" i="11"/>
  <c r="DH6" i="11" l="1"/>
  <c r="DI5" i="11"/>
  <c r="DI6" i="11" l="1"/>
  <c r="DJ5" i="11"/>
  <c r="DJ4" i="11" l="1"/>
  <c r="DJ6" i="11"/>
  <c r="DK5" i="11"/>
  <c r="DL5" i="11" l="1"/>
  <c r="DK6" i="11"/>
  <c r="DL6" i="11" l="1"/>
  <c r="DM5" i="11"/>
  <c r="DM6" i="11" l="1"/>
  <c r="DN5" i="11"/>
  <c r="DO5" i="11" l="1"/>
  <c r="DN6" i="11"/>
  <c r="DO6" i="11" l="1"/>
  <c r="DP5" i="11"/>
  <c r="DP6" i="11" l="1"/>
  <c r="DQ5" i="11"/>
  <c r="DQ6" i="11" l="1"/>
  <c r="DR5" i="11"/>
  <c r="DQ4" i="11"/>
  <c r="DR6" i="11" l="1"/>
  <c r="DS5" i="11"/>
  <c r="DS6" i="11" l="1"/>
  <c r="DT5" i="11"/>
  <c r="DU5" i="11" l="1"/>
  <c r="DT6" i="11"/>
  <c r="DV5" i="11" l="1"/>
  <c r="DU6" i="11"/>
  <c r="DW5" i="11" l="1"/>
  <c r="DV6" i="11"/>
  <c r="DW6" i="11" l="1"/>
  <c r="DX5" i="11"/>
  <c r="DY5" i="11" l="1"/>
  <c r="DX6" i="11"/>
  <c r="DX4" i="11"/>
  <c r="DZ5" i="11" l="1"/>
  <c r="DY6" i="11"/>
  <c r="DZ6" i="11" l="1"/>
  <c r="EA5" i="11"/>
  <c r="EB5" i="11" l="1"/>
  <c r="EA6" i="11"/>
  <c r="EB6" i="11" l="1"/>
  <c r="EC5" i="11"/>
  <c r="EC6" i="11" l="1"/>
  <c r="ED5" i="11"/>
  <c r="ED6" i="11" l="1"/>
  <c r="EE5" i="11"/>
  <c r="EF5" i="11" l="1"/>
  <c r="EE4" i="11"/>
  <c r="EE6" i="11"/>
  <c r="EG5" i="11" l="1"/>
  <c r="EF6" i="11"/>
  <c r="EG6" i="11" l="1"/>
  <c r="EH5" i="11"/>
  <c r="EH6" i="11" l="1"/>
  <c r="EI5" i="11"/>
  <c r="EJ5" i="11" l="1"/>
  <c r="EI6" i="11"/>
  <c r="EK5" i="11" l="1"/>
  <c r="EK6" i="11" s="1"/>
  <c r="EJ6"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Vertex42.com Templates</author>
  </authors>
  <commentList>
    <comment ref="H6" authorId="0" shapeId="0" xr:uid="{00000000-0006-0000-0000-000001000000}">
      <text>
        <r>
          <rPr>
            <b/>
            <sz val="9"/>
            <color indexed="81"/>
            <rFont val="Tahoma"/>
            <family val="2"/>
          </rPr>
          <t>DAYS:</t>
        </r>
        <r>
          <rPr>
            <sz val="9"/>
            <color indexed="81"/>
            <rFont val="Tahoma"/>
            <family val="2"/>
          </rPr>
          <t xml:space="preserve">
This column calculates the duration of the task in calendar days. The duration includes both the Start and End dates.</t>
        </r>
      </text>
    </comment>
  </commentList>
</comments>
</file>

<file path=xl/sharedStrings.xml><?xml version="1.0" encoding="utf-8"?>
<sst xmlns="http://schemas.openxmlformats.org/spreadsheetml/2006/main" count="89" uniqueCount="66">
  <si>
    <t>Insert new rows ABOVE this one</t>
  </si>
  <si>
    <t>Project Start:</t>
  </si>
  <si>
    <t>PROGRESS</t>
  </si>
  <si>
    <t>ASSIGNED
TO</t>
  </si>
  <si>
    <t>Project Management Templates</t>
  </si>
  <si>
    <t>START</t>
  </si>
  <si>
    <t>END</t>
  </si>
  <si>
    <t>DAYS</t>
  </si>
  <si>
    <t>Display Week:</t>
  </si>
  <si>
    <t>TASK</t>
  </si>
  <si>
    <t>More Project Management Templates</t>
  </si>
  <si>
    <t>About This Template</t>
  </si>
  <si>
    <t>SIMPLE GANTT CHART by Vertex42.com</t>
  </si>
  <si>
    <t>Additional Help</t>
  </si>
  <si>
    <t>About Vertex42</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</si>
  <si>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</si>
  <si>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https://www.vertex42.com/ExcelTemplates/simple-gantt-chart.html</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</si>
  <si>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</si>
  <si>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</si>
  <si>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</si>
  <si>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</si>
  <si>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Today:</t>
  </si>
  <si>
    <t xml:space="preserve"> </t>
  </si>
  <si>
    <t>© 2018-2025 Vertex42 LLC</t>
  </si>
  <si>
    <t>Vertex42.com provides over 400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</si>
  <si>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Erin Covacha</t>
  </si>
  <si>
    <t>All</t>
  </si>
  <si>
    <t>Project Leader: Erin Drew Covacha</t>
  </si>
  <si>
    <t>CMARCH1-IAC1</t>
  </si>
  <si>
    <t>GROUP 5</t>
  </si>
  <si>
    <t>Create Gantt chart</t>
  </si>
  <si>
    <t>Rubric Review</t>
  </si>
  <si>
    <t>Task Distribution</t>
  </si>
  <si>
    <t xml:space="preserve">Project Planning &amp; Design					</t>
  </si>
  <si>
    <t>Set up ASM dev environment</t>
  </si>
  <si>
    <t>Set up Git Repository</t>
  </si>
  <si>
    <t>Draft flowchart</t>
  </si>
  <si>
    <t xml:space="preserve">Core Input System					</t>
  </si>
  <si>
    <t>Player 1 (Code Setting)</t>
  </si>
  <si>
    <t>Player 2 (Guessing Input)</t>
  </si>
  <si>
    <t>Feedback Mechanism (Place &amp; Color)</t>
  </si>
  <si>
    <t>Integration and Testing</t>
  </si>
  <si>
    <t>Game Logic + UX/UI</t>
  </si>
  <si>
    <t>Track guesses and limits</t>
  </si>
  <si>
    <t>Set up Lose and Win Conditions</t>
  </si>
  <si>
    <t>Set Win/Lose and instruction msg s</t>
  </si>
  <si>
    <t xml:space="preserve">Add comments </t>
  </si>
  <si>
    <t>QA (LOOP, JXX, etc.)</t>
  </si>
  <si>
    <t>Testing and Debugging</t>
  </si>
  <si>
    <t>Egde  case testing</t>
  </si>
  <si>
    <t>Track and fix erro/bugs</t>
  </si>
  <si>
    <t>Originality Review (Glaze the group?)</t>
  </si>
  <si>
    <t>Verify exe file runnablility</t>
  </si>
  <si>
    <t>Report Writing and final Review</t>
  </si>
  <si>
    <t>Introduction and Design</t>
  </si>
  <si>
    <t>Implementation and testing</t>
  </si>
  <si>
    <t>Individual Contributions</t>
  </si>
  <si>
    <t>Code Review</t>
  </si>
  <si>
    <t>Presentation</t>
  </si>
  <si>
    <t>Presentation Demo</t>
  </si>
  <si>
    <t>Stephen Robles</t>
  </si>
  <si>
    <t>William Ragel</t>
  </si>
  <si>
    <t>Khen Vicente</t>
  </si>
  <si>
    <t>Document implementations</t>
  </si>
  <si>
    <t>Stephen Robles, Khen Vicente</t>
  </si>
  <si>
    <t>Final Submission Package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</si>
</sst>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m/d/yy;@"/>
    <numFmt numFmtId="165" formatCode="ddd\,\ m/d/yyyy"/>
    <numFmt numFmtId="166" formatCode="mmm\ d\,\ yyyy"/>
    <numFmt numFmtId="167" formatCode="d"/>
  </numFmts>
  <fonts count="31"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0"/>
      <color theme="0" tint="-0.499984740745262"/>
      <name val="Calibri"/>
      <family val="2"/>
      <scheme val="minor"/>
    </font>
    <font>
      <sz val="11"/>
      <color theme="1"/>
      <name val="Calibri"/>
      <family val="2"/>
      <scheme val="minor"/>
    </font>
    <font>
      <sz val="9"/>
      <name val="Calibri"/>
      <family val="2"/>
      <scheme val="minor"/>
    </font>
    <font>
      <sz val="9"/>
      <color indexed="81"/>
      <name val="Tahoma"/>
      <family val="2"/>
    </font>
    <font>
      <b/>
      <sz val="9"/>
      <color indexed="81"/>
      <name val="Tahoma"/>
      <family val="2"/>
    </font>
    <font>
      <sz val="8"/>
      <color theme="0"/>
      <name val="Calibri"/>
      <family val="2"/>
      <scheme val="minor"/>
    </font>
    <font>
      <b/>
      <sz val="11"/>
      <color theme="1" tint="0.499984740745262"/>
      <name val="Calibri"/>
      <family val="2"/>
      <scheme val="minor"/>
    </font>
    <font>
      <sz val="10"/>
      <color theme="1" tint="0.499984740745262"/>
      <name val="Arial"/>
      <family val="2"/>
    </font>
    <font>
      <sz val="16"/>
      <color theme="1"/>
      <name val="Calibri"/>
      <family val="2"/>
      <scheme val="min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sz val="10"/>
      <color theme="1" tint="0.34998626667073579"/>
      <name val="Calibri"/>
      <family val="2"/>
      <scheme val="minor"/>
    </font>
    <font>
      <sz val="9"/>
      <color theme="1" tint="0.499984740745262"/>
      <name val="Arial"/>
      <family val="2"/>
    </font>
    <font>
      <u/>
      <sz val="9"/>
      <color theme="4" tint="-0.249977111117893"/>
      <name val="Arial"/>
      <family val="2"/>
    </font>
    <font>
      <sz val="10"/>
      <color rgb="FF000000"/>
      <name val="Arial"/>
      <family val="2"/>
    </font>
    <font>
      <b/>
      <sz val="22"/>
      <color theme="4" tint="-0.249977111117893"/>
      <name val="Calibri"/>
      <family val="2"/>
      <scheme val="major"/>
    </font>
    <font>
      <sz val="14"/>
      <color theme="4" tint="-0.249977111117893"/>
      <name val="Calibri"/>
      <family val="2"/>
      <scheme val="minor"/>
    </font>
  </fonts>
  <fills count="7">
    <fill>
      <patternFill patternType="none"/>
    </fill>
    <fill>
      <patternFill patternType="gray125"/>
    </fill>
    <fill>
      <patternFill patternType="solid">
        <fgColor theme="0" tint="-4.9989318521683403E-2"/>
        <bgColor indexed="64"/>
      </patternFill>
    </fill>
    <fill>
      <patternFill patternType="solid">
        <fgColor theme="4" tint="-0.249977111117893"/>
        <bgColor theme="4"/>
      </patternFill>
    </fill>
    <fill>
      <patternFill patternType="solid">
        <fgColor theme="4" tint="-0.249977111117893"/>
        <bgColor indexed="64"/>
      </patternFill>
    </fill>
    <fill>
      <patternFill patternType="solid">
        <fgColor theme="4" tint="0.79998168889431442"/>
        <bgColor indexed="64"/>
      </patternFill>
    </fill>
    <fill>
      <patternFill patternType="solid">
        <fgColor theme="0" tint="-0.249977111117893"/>
        <bgColor indexed="64"/>
      </patternFill>
    </fill>
  </fills>
  <borders count="12">
    <border>
      <left/>
      <right/>
      <top/>
      <bottom/>
      <diagonal/>
    </border>
    <border>
      <left/>
      <right/>
      <top style="thin">
        <color theme="0" tint="-0.34998626667073579"/>
      </top>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indexed="64"/>
      </left>
      <right style="thin">
        <color indexed="64"/>
      </right>
      <top style="thin">
        <color theme="0" tint="-0.34998626667073579"/>
      </top>
      <bottom style="thin">
        <color indexed="64"/>
      </bottom>
      <diagonal/>
    </border>
    <border>
      <left style="thin">
        <color theme="0" tint="-0.499984740745262"/>
      </left>
      <right style="thin">
        <color indexed="64"/>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top style="thin">
        <color theme="0" tint="-0.24994659260841701"/>
      </top>
      <bottom style="thin">
        <color theme="0" tint="-0.24994659260841701"/>
      </bottom>
      <diagonal/>
    </border>
    <border>
      <left style="thin">
        <color theme="0" tint="-0.34998626667073579"/>
      </left>
      <right style="thin">
        <color theme="0" tint="-0.34998626667073579"/>
      </right>
      <top/>
      <bottom/>
      <diagonal/>
    </border>
    <border>
      <left style="thin">
        <color theme="0" tint="-0.14993743705557422"/>
      </left>
      <right style="thin">
        <color theme="0" tint="-0.14993743705557422"/>
      </right>
      <top style="thin">
        <color theme="0" tint="-0.24994659260841701"/>
      </top>
      <bottom style="thin">
        <color theme="0" tint="-0.24994659260841701"/>
      </bottom>
      <diagonal/>
    </border>
  </borders>
  <cellStyleXfs count="8">
    <xf numFmtId="0" fontId="0" fillId="0" borderId="0"/>
    <xf numFmtId="0" fontId="3" fillId="0" borderId="0" applyNumberFormat="0" applyFill="0" applyBorder="0" applyAlignment="0" applyProtection="0">
      <alignment vertical="top"/>
      <protection locked="0"/>
    </xf>
    <xf numFmtId="9" fontId="10" fillId="0" borderId="0" applyFont="0" applyFill="0" applyBorder="0" applyAlignment="0" applyProtection="0"/>
    <xf numFmtId="0" fontId="10" fillId="0" borderId="0"/>
    <xf numFmtId="0" fontId="10" fillId="0" borderId="0"/>
    <xf numFmtId="0" fontId="28" fillId="0" borderId="0"/>
    <xf numFmtId="0" fontId="10" fillId="0" borderId="0"/>
    <xf numFmtId="0" fontId="10" fillId="0" borderId="0"/>
  </cellStyleXfs>
  <cellXfs count="67">
    <xf numFmtId="0" fontId="0" fillId="0" borderId="0" xfId="0"/>
    <xf numFmtId="0" fontId="2" fillId="0" borderId="0" xfId="0" applyFont="1"/>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9" fillId="0" borderId="0" xfId="0" applyFont="1" applyAlignment="1">
      <alignment vertical="center"/>
    </xf>
    <xf numFmtId="0" fontId="15" fillId="0" borderId="0" xfId="0" applyFont="1"/>
    <xf numFmtId="0" fontId="17" fillId="0" borderId="0" xfId="0" applyFont="1" applyAlignment="1">
      <alignment horizontal="right" vertical="center"/>
    </xf>
    <xf numFmtId="0" fontId="2" fillId="0" borderId="0" xfId="0" applyFont="1" applyAlignment="1">
      <alignment vertical="top"/>
    </xf>
    <xf numFmtId="0" fontId="18" fillId="0" borderId="0" xfId="0" applyFont="1" applyAlignment="1">
      <alignment horizontal="left" vertical="center"/>
    </xf>
    <xf numFmtId="0" fontId="19" fillId="0" borderId="0" xfId="0" applyFont="1" applyAlignment="1">
      <alignment horizontal="left" vertical="center"/>
    </xf>
    <xf numFmtId="0" fontId="20" fillId="0" borderId="0" xfId="0" applyFont="1" applyAlignment="1">
      <alignment vertical="center"/>
    </xf>
    <xf numFmtId="0" fontId="2" fillId="0" borderId="0" xfId="0" applyFont="1" applyAlignment="1">
      <alignment horizontal="left" vertical="center"/>
    </xf>
    <xf numFmtId="0" fontId="21" fillId="0" borderId="0" xfId="0" applyFont="1"/>
    <xf numFmtId="0" fontId="22" fillId="0" borderId="0" xfId="0" applyFont="1" applyAlignment="1">
      <alignment vertical="top" wrapText="1"/>
    </xf>
    <xf numFmtId="0" fontId="23" fillId="0" borderId="0" xfId="0" applyFont="1" applyAlignment="1">
      <alignment vertical="center"/>
    </xf>
    <xf numFmtId="0" fontId="22" fillId="0" borderId="0" xfId="0" applyFont="1" applyAlignment="1">
      <alignment horizontal="left" vertical="top" wrapText="1" indent="1"/>
    </xf>
    <xf numFmtId="0" fontId="3" fillId="0" borderId="0" xfId="1" applyAlignment="1" applyProtection="1">
      <alignment horizontal="left" indent="1"/>
    </xf>
    <xf numFmtId="14" fontId="24" fillId="0" borderId="0" xfId="0" applyNumberFormat="1" applyFont="1" applyAlignment="1">
      <alignment horizontal="center"/>
    </xf>
    <xf numFmtId="0" fontId="2" fillId="0" borderId="0" xfId="0" applyFont="1" applyAlignment="1">
      <alignment horizontal="right" vertical="center"/>
    </xf>
    <xf numFmtId="0" fontId="25" fillId="0" borderId="0" xfId="0" applyFont="1" applyAlignment="1">
      <alignment vertical="top"/>
    </xf>
    <xf numFmtId="0" fontId="26" fillId="0" borderId="0" xfId="0" applyFont="1"/>
    <xf numFmtId="0" fontId="26" fillId="0" borderId="0" xfId="1" applyFont="1" applyAlignment="1" applyProtection="1"/>
    <xf numFmtId="0" fontId="3" fillId="0" borderId="0" xfId="1" applyFill="1" applyAlignment="1" applyProtection="1">
      <alignment horizontal="left" indent="1"/>
    </xf>
    <xf numFmtId="0" fontId="0" fillId="0" borderId="6" xfId="0" applyBorder="1" applyAlignment="1">
      <alignment horizontal="center" vertical="center"/>
    </xf>
    <xf numFmtId="165" fontId="0" fillId="0" borderId="7" xfId="0" applyNumberFormat="1" applyBorder="1" applyAlignment="1">
      <alignment horizontal="centerContinuous" vertical="center"/>
    </xf>
    <xf numFmtId="165" fontId="0" fillId="0" borderId="8" xfId="0" applyNumberFormat="1" applyBorder="1" applyAlignment="1">
      <alignment horizontal="centerContinuous" vertical="center"/>
    </xf>
    <xf numFmtId="0" fontId="7" fillId="3" borderId="1" xfId="0" applyFont="1" applyFill="1" applyBorder="1" applyAlignment="1">
      <alignment horizontal="left" vertical="center" indent="1"/>
    </xf>
    <xf numFmtId="0" fontId="7" fillId="3" borderId="1" xfId="0" applyFont="1" applyFill="1" applyBorder="1" applyAlignment="1">
      <alignment horizontal="center" vertical="center" wrapText="1"/>
    </xf>
    <xf numFmtId="167" fontId="11" fillId="5" borderId="4" xfId="0" applyNumberFormat="1" applyFont="1" applyFill="1" applyBorder="1" applyAlignment="1">
      <alignment horizontal="center" vertical="center"/>
    </xf>
    <xf numFmtId="167" fontId="11" fillId="5" borderId="0" xfId="0" applyNumberFormat="1" applyFont="1" applyFill="1" applyAlignment="1">
      <alignment horizontal="center" vertical="center"/>
    </xf>
    <xf numFmtId="167" fontId="11" fillId="5" borderId="5" xfId="0" applyNumberFormat="1" applyFont="1" applyFill="1" applyBorder="1" applyAlignment="1">
      <alignment horizontal="center" vertical="center"/>
    </xf>
    <xf numFmtId="0" fontId="29" fillId="0" borderId="0" xfId="0" applyFont="1" applyAlignment="1">
      <alignment horizontal="left"/>
    </xf>
    <xf numFmtId="0" fontId="30" fillId="0" borderId="0" xfId="0" applyFont="1"/>
    <xf numFmtId="0" fontId="6" fillId="0" borderId="0" xfId="0" applyFont="1" applyAlignment="1">
      <alignment horizontal="right" vertical="center"/>
    </xf>
    <xf numFmtId="0" fontId="14" fillId="4" borderId="10" xfId="0" applyFont="1" applyFill="1" applyBorder="1" applyAlignment="1">
      <alignment horizontal="center" vertical="center" shrinkToFit="1"/>
    </xf>
    <xf numFmtId="0" fontId="0" fillId="0" borderId="9" xfId="0" applyBorder="1" applyAlignment="1">
      <alignment horizontal="left" vertical="center" indent="1"/>
    </xf>
    <xf numFmtId="9" fontId="5" fillId="0" borderId="9" xfId="2" applyFont="1" applyFill="1" applyBorder="1" applyAlignment="1">
      <alignment horizontal="center" vertical="center"/>
    </xf>
    <xf numFmtId="164" fontId="0" fillId="0" borderId="9" xfId="0" applyNumberFormat="1" applyBorder="1" applyAlignment="1">
      <alignment horizontal="center" vertical="center"/>
    </xf>
    <xf numFmtId="164" fontId="5" fillId="0" borderId="9" xfId="0" applyNumberFormat="1" applyFont="1" applyBorder="1" applyAlignment="1">
      <alignment horizontal="center" vertical="center"/>
    </xf>
    <xf numFmtId="0" fontId="5" fillId="0" borderId="9" xfId="0" applyFont="1" applyBorder="1" applyAlignment="1">
      <alignment horizontal="center" vertical="center"/>
    </xf>
    <xf numFmtId="0" fontId="0" fillId="0" borderId="11" xfId="0" applyBorder="1" applyAlignment="1">
      <alignment vertical="center"/>
    </xf>
    <xf numFmtId="0" fontId="0" fillId="0" borderId="9" xfId="0" applyBorder="1" applyAlignment="1">
      <alignment vertical="center"/>
    </xf>
    <xf numFmtId="0" fontId="8" fillId="2" borderId="9" xfId="0" applyFont="1" applyFill="1" applyBorder="1" applyAlignment="1">
      <alignment horizontal="left" vertical="center" indent="1"/>
    </xf>
    <xf numFmtId="9" fontId="5" fillId="2" borderId="9" xfId="2" applyFont="1" applyFill="1" applyBorder="1" applyAlignment="1">
      <alignment horizontal="center" vertical="center"/>
    </xf>
    <xf numFmtId="164" fontId="4" fillId="2" borderId="9" xfId="0" applyNumberFormat="1" applyFont="1" applyFill="1" applyBorder="1" applyAlignment="1">
      <alignment horizontal="left" vertical="center"/>
    </xf>
    <xf numFmtId="164" fontId="5" fillId="2" borderId="9" xfId="0" applyNumberFormat="1" applyFont="1" applyFill="1" applyBorder="1" applyAlignment="1">
      <alignment horizontal="center" vertical="center"/>
    </xf>
    <xf numFmtId="0" fontId="5" fillId="2" borderId="9" xfId="0" applyFont="1" applyFill="1" applyBorder="1" applyAlignment="1">
      <alignment horizontal="center" vertical="center"/>
    </xf>
    <xf numFmtId="0" fontId="0" fillId="2" borderId="11" xfId="0" applyFill="1" applyBorder="1" applyAlignment="1">
      <alignment vertical="center"/>
    </xf>
    <xf numFmtId="0" fontId="6" fillId="6" borderId="9" xfId="0" applyFont="1" applyFill="1" applyBorder="1" applyAlignment="1">
      <alignment horizontal="left" vertical="center" indent="1"/>
    </xf>
    <xf numFmtId="9" fontId="5" fillId="6" borderId="9" xfId="2" applyFont="1" applyFill="1" applyBorder="1" applyAlignment="1">
      <alignment horizontal="center" vertical="center"/>
    </xf>
    <xf numFmtId="164" fontId="0" fillId="6" borderId="9" xfId="0" applyNumberFormat="1" applyFill="1" applyBorder="1" applyAlignment="1">
      <alignment horizontal="center" vertical="center"/>
    </xf>
    <xf numFmtId="164" fontId="5" fillId="6" borderId="9" xfId="0" applyNumberFormat="1" applyFont="1" applyFill="1" applyBorder="1" applyAlignment="1">
      <alignment horizontal="center" vertical="center"/>
    </xf>
    <xf numFmtId="0" fontId="5" fillId="6" borderId="9" xfId="0" applyFont="1" applyFill="1" applyBorder="1" applyAlignment="1">
      <alignment horizontal="center" vertical="center"/>
    </xf>
    <xf numFmtId="0" fontId="1" fillId="0" borderId="0" xfId="0" applyFont="1" applyAlignment="1">
      <alignment horizontal="left" wrapText="1"/>
    </xf>
    <xf numFmtId="0" fontId="0" fillId="0" borderId="0" xfId="0" applyAlignment="1">
      <alignment wrapText="1"/>
    </xf>
    <xf numFmtId="0" fontId="0" fillId="0" borderId="0" xfId="0" applyAlignment="1">
      <alignment vertical="center" wrapText="1"/>
    </xf>
    <xf numFmtId="0" fontId="0" fillId="0" borderId="9" xfId="0" applyBorder="1" applyAlignment="1">
      <alignment horizontal="center" vertical="center" wrapText="1"/>
    </xf>
    <xf numFmtId="0" fontId="0" fillId="6" borderId="9" xfId="0" applyFill="1" applyBorder="1" applyAlignment="1">
      <alignment horizontal="center" vertical="center" wrapText="1"/>
    </xf>
    <xf numFmtId="0" fontId="8" fillId="2" borderId="9" xfId="0" applyFont="1" applyFill="1" applyBorder="1" applyAlignment="1">
      <alignment horizontal="center" vertical="center" wrapText="1"/>
    </xf>
    <xf numFmtId="0" fontId="15" fillId="0" borderId="0" xfId="0" applyFont="1" applyAlignment="1">
      <alignment wrapText="1"/>
    </xf>
    <xf numFmtId="0" fontId="16" fillId="0" borderId="0" xfId="1" applyFont="1" applyAlignment="1" applyProtection="1">
      <alignment wrapText="1"/>
    </xf>
    <xf numFmtId="0" fontId="6" fillId="6" borderId="9" xfId="0" applyFont="1" applyFill="1" applyBorder="1" applyAlignment="1">
      <alignment horizontal="left" vertical="center" indent="1"/>
    </xf>
    <xf numFmtId="166" fontId="0" fillId="5" borderId="2" xfId="0" applyNumberFormat="1" applyFill="1" applyBorder="1" applyAlignment="1">
      <alignment horizontal="left" vertical="center" wrapText="1" indent="1"/>
    </xf>
    <xf numFmtId="166" fontId="0" fillId="5" borderId="1" xfId="0" applyNumberFormat="1" applyFill="1" applyBorder="1" applyAlignment="1">
      <alignment horizontal="left" vertical="center" wrapText="1" indent="1"/>
    </xf>
    <xf numFmtId="166" fontId="0" fillId="5" borderId="3" xfId="0" applyNumberFormat="1" applyFill="1" applyBorder="1" applyAlignment="1">
      <alignment horizontal="left" vertical="center" wrapText="1" indent="1"/>
    </xf>
    <xf numFmtId="0" fontId="27" fillId="0" borderId="0" xfId="1" applyFont="1" applyAlignment="1" applyProtection="1">
      <alignment horizontal="left" vertical="center"/>
    </xf>
  </cellXfs>
  <cellStyles count="8">
    <cellStyle name="Hyperlink" xfId="1" builtinId="8" customBuiltin="1"/>
    <cellStyle name="Normal" xfId="0" builtinId="0"/>
    <cellStyle name="Normal 2" xfId="5" xr:uid="{F6137E9C-9D90-4907-87D2-F66E1236C2C7}"/>
    <cellStyle name="Normal 3 2" xfId="4" xr:uid="{468F9836-FCE4-46C8-AE46-CFD105BDDA17}"/>
    <cellStyle name="Normal 3 2 2" xfId="7" xr:uid="{5EBE4E74-803E-4F0E-8237-236DFD24A74A}"/>
    <cellStyle name="Normal 4" xfId="3" xr:uid="{0A5A6055-C10D-4DEA-8FED-A569442A9B09}"/>
    <cellStyle name="Normal 4 2" xfId="6" xr:uid="{8193CEAB-09E8-470F-82FE-732684E7C073}"/>
    <cellStyle name="Percent" xfId="2" builtinId="5"/>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v42&amp;utm_medium=file&amp;utm_campaign=templates&amp;utm_term=simple-gantt-chart_ms&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0</xdr:row>
      <xdr:rowOff>95250</xdr:rowOff>
    </xdr:from>
    <xdr:to>
      <xdr:col>1</xdr:col>
      <xdr:colOff>1905000</xdr:colOff>
      <xdr:row>0</xdr:row>
      <xdr:rowOff>523875</xdr:rowOff>
    </xdr:to>
    <xdr:pic>
      <xdr:nvPicPr>
        <xdr:cNvPr id="2" name="Picture 1">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AI_Theme">
      <a:dk1>
        <a:sysClr val="windowText" lastClr="000000"/>
      </a:dk1>
      <a:lt1>
        <a:sysClr val="window" lastClr="FFFFFF"/>
      </a:lt1>
      <a:dk2>
        <a:srgbClr val="3A5D9C"/>
      </a:dk2>
      <a:lt2>
        <a:srgbClr val="EEEEEE"/>
      </a:lt2>
      <a:accent1>
        <a:srgbClr val="7451B3"/>
      </a:accent1>
      <a:accent2>
        <a:srgbClr val="439957"/>
      </a:accent2>
      <a:accent3>
        <a:srgbClr val="CB4D5C"/>
      </a:accent3>
      <a:accent4>
        <a:srgbClr val="2B76BB"/>
      </a:accent4>
      <a:accent5>
        <a:srgbClr val="C7823D"/>
      </a:accent5>
      <a:accent6>
        <a:srgbClr val="328C88"/>
      </a:accent6>
      <a:hlink>
        <a:srgbClr val="4C92AE"/>
      </a:hlink>
      <a:folHlink>
        <a:srgbClr val="969696"/>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v42&amp;utm_medium=file&amp;utm_campaign=templates&amp;utm_term=simple-gantt-chart_ms&amp;utm_content=title" TargetMode="External"/><Relationship Id="rId1" Type="http://schemas.openxmlformats.org/officeDocument/2006/relationships/hyperlink" Target="https://www.vertex42.com/ExcelTemplates/simple-gantt-chart.html?utm_source=v42&amp;utm_medium=file&amp;utm_campaign=templates&amp;utm_term=simple-gantt-chart_ms&amp;utm_content=url"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v42&amp;utm_medium=file&amp;utm_campaign=templates&amp;utm_term=simple-gantt-chart_ms&amp;utm_content=url" TargetMode="External"/><Relationship Id="rId2" Type="http://schemas.openxmlformats.org/officeDocument/2006/relationships/hyperlink" Target="https://www.vertex42.com/ExcelTemplates/simple-gantt-chart.html?utm_source=v42&amp;utm_medium=file&amp;utm_campaign=templates&amp;utm_term=simple-gantt-chart_ms&amp;utm_content=help" TargetMode="External"/><Relationship Id="rId1" Type="http://schemas.openxmlformats.org/officeDocument/2006/relationships/hyperlink" Target="https://www.vertex42.com/ExcelTemplates/excel-project-management.html?utm_source=v42&amp;utm_medium=file&amp;utm_campaign=templates&amp;utm_term=simple-gantt-chart_ms&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v42&amp;utm_medium=file&amp;utm_campaign=templates&amp;utm_term=simple-gantt-chart_ms&amp;utm_content=titl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EK49"/>
  <sheetViews>
    <sheetView showGridLines="0" tabSelected="1" showRuler="0" zoomScale="70" zoomScaleNormal="70" zoomScalePageLayoutView="70" workbookViewId="0">
      <pane ySplit="6" topLeftCell="A30" activePane="bottomLeft" state="frozen"/>
      <selection pane="bottomLeft" activeCell="D39" sqref="D39"/>
    </sheetView>
  </sheetViews>
  <sheetFormatPr defaultColWidth="10.28515625" defaultRowHeight="15" x14ac:dyDescent="0.25"/>
  <cols>
    <col min="1" max="1" width="2.7109375" customWidth="1"/>
    <col min="2" max="2" width="36.140625" customWidth="1"/>
    <col min="3" max="3" width="24.140625" style="55" customWidth="1"/>
    <col min="4" max="4" width="9.5703125" customWidth="1"/>
    <col min="5" max="5" width="10.28515625" style="3" customWidth="1"/>
    <col min="6" max="6" width="10.28515625" customWidth="1"/>
    <col min="7" max="7" width="2.7109375" customWidth="1"/>
    <col min="8" max="8" width="6.140625" hidden="1" customWidth="1"/>
    <col min="9" max="141" width="2.5703125" customWidth="1"/>
  </cols>
  <sheetData>
    <row r="1" spans="1:141" ht="28.5" x14ac:dyDescent="0.45">
      <c r="A1" t="s">
        <v>22</v>
      </c>
      <c r="B1" s="32" t="s">
        <v>29</v>
      </c>
      <c r="C1" s="54"/>
      <c r="D1" s="1"/>
      <c r="E1" s="2"/>
      <c r="F1" s="19"/>
      <c r="H1" s="1"/>
      <c r="I1" s="5"/>
      <c r="J1" s="66" t="b">
        <f>B3=HYPERLINK("https://vertex42.link/HowToMakeAGanttChart","► Watch How to Make a Gantt Chart in Excel")</f>
        <v>0</v>
      </c>
      <c r="K1" s="66"/>
      <c r="L1" s="66"/>
      <c r="M1" s="66"/>
      <c r="N1" s="66"/>
      <c r="O1" s="66"/>
      <c r="P1" s="66"/>
      <c r="Q1" s="66"/>
      <c r="R1" s="66"/>
      <c r="S1" s="66"/>
      <c r="T1" s="66"/>
      <c r="U1" s="66"/>
      <c r="V1" s="66"/>
      <c r="W1" s="66"/>
      <c r="X1" s="66"/>
      <c r="Y1" s="66"/>
      <c r="Z1" s="66"/>
      <c r="AA1" s="66"/>
    </row>
    <row r="2" spans="1:141" ht="19.5" customHeight="1" x14ac:dyDescent="0.3">
      <c r="B2" s="33" t="s">
        <v>28</v>
      </c>
      <c r="D2" s="4" t="s">
        <v>1</v>
      </c>
      <c r="E2" s="25">
        <v>46122</v>
      </c>
      <c r="F2" s="26"/>
    </row>
    <row r="3" spans="1:141" ht="19.5" customHeight="1" x14ac:dyDescent="0.3">
      <c r="B3" s="33" t="s">
        <v>27</v>
      </c>
      <c r="D3" s="4" t="s">
        <v>21</v>
      </c>
      <c r="E3" s="25">
        <f ca="1">TODAY()</f>
        <v>46146</v>
      </c>
      <c r="F3" s="26"/>
    </row>
    <row r="4" spans="1:141" ht="19.5" customHeight="1" x14ac:dyDescent="0.25">
      <c r="B4" s="34"/>
      <c r="C4" s="56"/>
      <c r="D4" s="4" t="s">
        <v>8</v>
      </c>
      <c r="E4" s="24">
        <v>3</v>
      </c>
      <c r="I4" s="63">
        <f>I5</f>
        <v>46132</v>
      </c>
      <c r="J4" s="64"/>
      <c r="K4" s="64"/>
      <c r="L4" s="64"/>
      <c r="M4" s="64"/>
      <c r="N4" s="64"/>
      <c r="O4" s="65"/>
      <c r="P4" s="63">
        <f>P5</f>
        <v>46139</v>
      </c>
      <c r="Q4" s="64"/>
      <c r="R4" s="64"/>
      <c r="S4" s="64"/>
      <c r="T4" s="64"/>
      <c r="U4" s="64"/>
      <c r="V4" s="65"/>
      <c r="W4" s="63">
        <f>W5</f>
        <v>46146</v>
      </c>
      <c r="X4" s="64"/>
      <c r="Y4" s="64"/>
      <c r="Z4" s="64"/>
      <c r="AA4" s="64"/>
      <c r="AB4" s="64"/>
      <c r="AC4" s="65"/>
      <c r="AD4" s="63">
        <f>AD5</f>
        <v>46153</v>
      </c>
      <c r="AE4" s="64"/>
      <c r="AF4" s="64"/>
      <c r="AG4" s="64"/>
      <c r="AH4" s="64"/>
      <c r="AI4" s="64"/>
      <c r="AJ4" s="65"/>
      <c r="AK4" s="63">
        <f>AK5</f>
        <v>46160</v>
      </c>
      <c r="AL4" s="64"/>
      <c r="AM4" s="64"/>
      <c r="AN4" s="64"/>
      <c r="AO4" s="64"/>
      <c r="AP4" s="64"/>
      <c r="AQ4" s="65"/>
      <c r="AR4" s="63">
        <f>AR5</f>
        <v>46167</v>
      </c>
      <c r="AS4" s="64"/>
      <c r="AT4" s="64"/>
      <c r="AU4" s="64"/>
      <c r="AV4" s="64"/>
      <c r="AW4" s="64"/>
      <c r="AX4" s="65"/>
      <c r="AY4" s="63">
        <f>AY5</f>
        <v>46174</v>
      </c>
      <c r="AZ4" s="64"/>
      <c r="BA4" s="64"/>
      <c r="BB4" s="64"/>
      <c r="BC4" s="64"/>
      <c r="BD4" s="64"/>
      <c r="BE4" s="65"/>
      <c r="BF4" s="63">
        <f>BF5</f>
        <v>46181</v>
      </c>
      <c r="BG4" s="64"/>
      <c r="BH4" s="64"/>
      <c r="BI4" s="64"/>
      <c r="BJ4" s="64"/>
      <c r="BK4" s="64"/>
      <c r="BL4" s="65"/>
      <c r="BM4" s="63">
        <f>BM5</f>
        <v>46188</v>
      </c>
      <c r="BN4" s="64"/>
      <c r="BO4" s="64"/>
      <c r="BP4" s="64"/>
      <c r="BQ4" s="64"/>
      <c r="BR4" s="64"/>
      <c r="BS4" s="65"/>
      <c r="BT4" s="63">
        <f>BT5</f>
        <v>46195</v>
      </c>
      <c r="BU4" s="64"/>
      <c r="BV4" s="64"/>
      <c r="BW4" s="64"/>
      <c r="BX4" s="64"/>
      <c r="BY4" s="64"/>
      <c r="BZ4" s="65"/>
      <c r="CA4" s="63">
        <f>CA5</f>
        <v>46202</v>
      </c>
      <c r="CB4" s="64"/>
      <c r="CC4" s="64"/>
      <c r="CD4" s="64"/>
      <c r="CE4" s="64"/>
      <c r="CF4" s="64"/>
      <c r="CG4" s="65"/>
      <c r="CH4" s="63">
        <f>CH5</f>
        <v>46209</v>
      </c>
      <c r="CI4" s="64"/>
      <c r="CJ4" s="64"/>
      <c r="CK4" s="64"/>
      <c r="CL4" s="64"/>
      <c r="CM4" s="64"/>
      <c r="CN4" s="65"/>
      <c r="CO4" s="63">
        <f>CO5</f>
        <v>46216</v>
      </c>
      <c r="CP4" s="64"/>
      <c r="CQ4" s="64"/>
      <c r="CR4" s="64"/>
      <c r="CS4" s="64"/>
      <c r="CT4" s="64"/>
      <c r="CU4" s="65"/>
      <c r="CV4" s="63">
        <f>CV5</f>
        <v>46223</v>
      </c>
      <c r="CW4" s="64"/>
      <c r="CX4" s="64"/>
      <c r="CY4" s="64"/>
      <c r="CZ4" s="64"/>
      <c r="DA4" s="64"/>
      <c r="DB4" s="65"/>
      <c r="DC4" s="63">
        <f>DC5</f>
        <v>46230</v>
      </c>
      <c r="DD4" s="64"/>
      <c r="DE4" s="64"/>
      <c r="DF4" s="64"/>
      <c r="DG4" s="64"/>
      <c r="DH4" s="64"/>
      <c r="DI4" s="65"/>
      <c r="DJ4" s="63">
        <f>DJ5</f>
        <v>46237</v>
      </c>
      <c r="DK4" s="64"/>
      <c r="DL4" s="64"/>
      <c r="DM4" s="64"/>
      <c r="DN4" s="64"/>
      <c r="DO4" s="64"/>
      <c r="DP4" s="65"/>
      <c r="DQ4" s="63">
        <f>DQ5</f>
        <v>46244</v>
      </c>
      <c r="DR4" s="64"/>
      <c r="DS4" s="64"/>
      <c r="DT4" s="64"/>
      <c r="DU4" s="64"/>
      <c r="DV4" s="64"/>
      <c r="DW4" s="65"/>
      <c r="DX4" s="63">
        <f>DX5</f>
        <v>46251</v>
      </c>
      <c r="DY4" s="64"/>
      <c r="DZ4" s="64"/>
      <c r="EA4" s="64"/>
      <c r="EB4" s="64"/>
      <c r="EC4" s="64"/>
      <c r="ED4" s="65"/>
      <c r="EE4" s="63">
        <f>EE5</f>
        <v>46258</v>
      </c>
      <c r="EF4" s="64"/>
      <c r="EG4" s="64"/>
      <c r="EH4" s="64"/>
      <c r="EI4" s="64"/>
      <c r="EJ4" s="64"/>
      <c r="EK4" s="65"/>
    </row>
    <row r="5" spans="1:141" x14ac:dyDescent="0.25">
      <c r="A5" s="4"/>
      <c r="G5" s="4"/>
      <c r="I5" s="29">
        <f>E2-WEEKDAY(E2,1)+2+7*(E4-1)</f>
        <v>46132</v>
      </c>
      <c r="J5" s="30">
        <f>I5+1</f>
        <v>46133</v>
      </c>
      <c r="K5" s="30">
        <f t="shared" ref="K5:AX5" si="0">J5+1</f>
        <v>46134</v>
      </c>
      <c r="L5" s="30">
        <f t="shared" si="0"/>
        <v>46135</v>
      </c>
      <c r="M5" s="30">
        <f t="shared" si="0"/>
        <v>46136</v>
      </c>
      <c r="N5" s="30">
        <f t="shared" si="0"/>
        <v>46137</v>
      </c>
      <c r="O5" s="31">
        <f t="shared" si="0"/>
        <v>46138</v>
      </c>
      <c r="P5" s="29">
        <f>O5+1</f>
        <v>46139</v>
      </c>
      <c r="Q5" s="30">
        <f>P5+1</f>
        <v>46140</v>
      </c>
      <c r="R5" s="30">
        <f t="shared" si="0"/>
        <v>46141</v>
      </c>
      <c r="S5" s="30">
        <f t="shared" si="0"/>
        <v>46142</v>
      </c>
      <c r="T5" s="30">
        <f t="shared" si="0"/>
        <v>46143</v>
      </c>
      <c r="U5" s="30">
        <f t="shared" si="0"/>
        <v>46144</v>
      </c>
      <c r="V5" s="31">
        <f t="shared" si="0"/>
        <v>46145</v>
      </c>
      <c r="W5" s="29">
        <f>V5+1</f>
        <v>46146</v>
      </c>
      <c r="X5" s="30">
        <f>W5+1</f>
        <v>46147</v>
      </c>
      <c r="Y5" s="30">
        <f t="shared" si="0"/>
        <v>46148</v>
      </c>
      <c r="Z5" s="30">
        <f t="shared" si="0"/>
        <v>46149</v>
      </c>
      <c r="AA5" s="30">
        <f t="shared" si="0"/>
        <v>46150</v>
      </c>
      <c r="AB5" s="30">
        <f t="shared" si="0"/>
        <v>46151</v>
      </c>
      <c r="AC5" s="31">
        <f t="shared" si="0"/>
        <v>46152</v>
      </c>
      <c r="AD5" s="29">
        <f>AC5+1</f>
        <v>46153</v>
      </c>
      <c r="AE5" s="30">
        <f>AD5+1</f>
        <v>46154</v>
      </c>
      <c r="AF5" s="30">
        <f t="shared" si="0"/>
        <v>46155</v>
      </c>
      <c r="AG5" s="30">
        <f t="shared" si="0"/>
        <v>46156</v>
      </c>
      <c r="AH5" s="30">
        <f t="shared" si="0"/>
        <v>46157</v>
      </c>
      <c r="AI5" s="30">
        <f t="shared" si="0"/>
        <v>46158</v>
      </c>
      <c r="AJ5" s="31">
        <f t="shared" si="0"/>
        <v>46159</v>
      </c>
      <c r="AK5" s="29">
        <f>AJ5+1</f>
        <v>46160</v>
      </c>
      <c r="AL5" s="30">
        <f>AK5+1</f>
        <v>46161</v>
      </c>
      <c r="AM5" s="30">
        <f t="shared" si="0"/>
        <v>46162</v>
      </c>
      <c r="AN5" s="30">
        <f t="shared" si="0"/>
        <v>46163</v>
      </c>
      <c r="AO5" s="30">
        <f t="shared" si="0"/>
        <v>46164</v>
      </c>
      <c r="AP5" s="30">
        <f t="shared" si="0"/>
        <v>46165</v>
      </c>
      <c r="AQ5" s="31">
        <f t="shared" si="0"/>
        <v>46166</v>
      </c>
      <c r="AR5" s="29">
        <f>AQ5+1</f>
        <v>46167</v>
      </c>
      <c r="AS5" s="30">
        <f>AR5+1</f>
        <v>46168</v>
      </c>
      <c r="AT5" s="30">
        <f t="shared" si="0"/>
        <v>46169</v>
      </c>
      <c r="AU5" s="30">
        <f t="shared" si="0"/>
        <v>46170</v>
      </c>
      <c r="AV5" s="30">
        <f t="shared" si="0"/>
        <v>46171</v>
      </c>
      <c r="AW5" s="30">
        <f t="shared" si="0"/>
        <v>46172</v>
      </c>
      <c r="AX5" s="31">
        <f t="shared" si="0"/>
        <v>46173</v>
      </c>
      <c r="AY5" s="29">
        <f t="shared" ref="AY5:CD5" si="1">AX5+1</f>
        <v>46174</v>
      </c>
      <c r="AZ5" s="30">
        <f t="shared" si="1"/>
        <v>46175</v>
      </c>
      <c r="BA5" s="30">
        <f t="shared" si="1"/>
        <v>46176</v>
      </c>
      <c r="BB5" s="30">
        <f t="shared" si="1"/>
        <v>46177</v>
      </c>
      <c r="BC5" s="30">
        <f t="shared" si="1"/>
        <v>46178</v>
      </c>
      <c r="BD5" s="30">
        <f t="shared" si="1"/>
        <v>46179</v>
      </c>
      <c r="BE5" s="31">
        <f t="shared" si="1"/>
        <v>46180</v>
      </c>
      <c r="BF5" s="29">
        <f t="shared" si="1"/>
        <v>46181</v>
      </c>
      <c r="BG5" s="30">
        <f t="shared" si="1"/>
        <v>46182</v>
      </c>
      <c r="BH5" s="30">
        <f t="shared" si="1"/>
        <v>46183</v>
      </c>
      <c r="BI5" s="30">
        <f t="shared" si="1"/>
        <v>46184</v>
      </c>
      <c r="BJ5" s="30">
        <f t="shared" si="1"/>
        <v>46185</v>
      </c>
      <c r="BK5" s="30">
        <f t="shared" si="1"/>
        <v>46186</v>
      </c>
      <c r="BL5" s="31">
        <f t="shared" si="1"/>
        <v>46187</v>
      </c>
      <c r="BM5" s="29">
        <f t="shared" si="1"/>
        <v>46188</v>
      </c>
      <c r="BN5" s="30">
        <f t="shared" si="1"/>
        <v>46189</v>
      </c>
      <c r="BO5" s="30">
        <f t="shared" si="1"/>
        <v>46190</v>
      </c>
      <c r="BP5" s="30">
        <f t="shared" si="1"/>
        <v>46191</v>
      </c>
      <c r="BQ5" s="30">
        <f t="shared" si="1"/>
        <v>46192</v>
      </c>
      <c r="BR5" s="30">
        <f t="shared" si="1"/>
        <v>46193</v>
      </c>
      <c r="BS5" s="31">
        <f t="shared" si="1"/>
        <v>46194</v>
      </c>
      <c r="BT5" s="29">
        <f t="shared" si="1"/>
        <v>46195</v>
      </c>
      <c r="BU5" s="30">
        <f t="shared" si="1"/>
        <v>46196</v>
      </c>
      <c r="BV5" s="30">
        <f t="shared" si="1"/>
        <v>46197</v>
      </c>
      <c r="BW5" s="30">
        <f t="shared" si="1"/>
        <v>46198</v>
      </c>
      <c r="BX5" s="30">
        <f t="shared" si="1"/>
        <v>46199</v>
      </c>
      <c r="BY5" s="30">
        <f t="shared" si="1"/>
        <v>46200</v>
      </c>
      <c r="BZ5" s="31">
        <f t="shared" si="1"/>
        <v>46201</v>
      </c>
      <c r="CA5" s="29">
        <f t="shared" si="1"/>
        <v>46202</v>
      </c>
      <c r="CB5" s="30">
        <f t="shared" si="1"/>
        <v>46203</v>
      </c>
      <c r="CC5" s="30">
        <f t="shared" si="1"/>
        <v>46204</v>
      </c>
      <c r="CD5" s="30">
        <f t="shared" si="1"/>
        <v>46205</v>
      </c>
      <c r="CE5" s="30">
        <f t="shared" ref="CE5:DJ5" si="2">CD5+1</f>
        <v>46206</v>
      </c>
      <c r="CF5" s="30">
        <f t="shared" si="2"/>
        <v>46207</v>
      </c>
      <c r="CG5" s="31">
        <f t="shared" si="2"/>
        <v>46208</v>
      </c>
      <c r="CH5" s="29">
        <f t="shared" si="2"/>
        <v>46209</v>
      </c>
      <c r="CI5" s="30">
        <f t="shared" si="2"/>
        <v>46210</v>
      </c>
      <c r="CJ5" s="30">
        <f t="shared" si="2"/>
        <v>46211</v>
      </c>
      <c r="CK5" s="30">
        <f t="shared" si="2"/>
        <v>46212</v>
      </c>
      <c r="CL5" s="30">
        <f t="shared" si="2"/>
        <v>46213</v>
      </c>
      <c r="CM5" s="30">
        <f t="shared" si="2"/>
        <v>46214</v>
      </c>
      <c r="CN5" s="31">
        <f t="shared" si="2"/>
        <v>46215</v>
      </c>
      <c r="CO5" s="29">
        <f t="shared" si="2"/>
        <v>46216</v>
      </c>
      <c r="CP5" s="30">
        <f t="shared" si="2"/>
        <v>46217</v>
      </c>
      <c r="CQ5" s="30">
        <f t="shared" si="2"/>
        <v>46218</v>
      </c>
      <c r="CR5" s="30">
        <f t="shared" si="2"/>
        <v>46219</v>
      </c>
      <c r="CS5" s="30">
        <f t="shared" si="2"/>
        <v>46220</v>
      </c>
      <c r="CT5" s="30">
        <f t="shared" si="2"/>
        <v>46221</v>
      </c>
      <c r="CU5" s="31">
        <f t="shared" si="2"/>
        <v>46222</v>
      </c>
      <c r="CV5" s="29">
        <f t="shared" si="2"/>
        <v>46223</v>
      </c>
      <c r="CW5" s="30">
        <f t="shared" si="2"/>
        <v>46224</v>
      </c>
      <c r="CX5" s="30">
        <f t="shared" si="2"/>
        <v>46225</v>
      </c>
      <c r="CY5" s="30">
        <f t="shared" si="2"/>
        <v>46226</v>
      </c>
      <c r="CZ5" s="30">
        <f t="shared" si="2"/>
        <v>46227</v>
      </c>
      <c r="DA5" s="30">
        <f t="shared" si="2"/>
        <v>46228</v>
      </c>
      <c r="DB5" s="31">
        <f t="shared" si="2"/>
        <v>46229</v>
      </c>
      <c r="DC5" s="29">
        <f t="shared" si="2"/>
        <v>46230</v>
      </c>
      <c r="DD5" s="30">
        <f t="shared" si="2"/>
        <v>46231</v>
      </c>
      <c r="DE5" s="30">
        <f t="shared" si="2"/>
        <v>46232</v>
      </c>
      <c r="DF5" s="30">
        <f t="shared" si="2"/>
        <v>46233</v>
      </c>
      <c r="DG5" s="30">
        <f t="shared" si="2"/>
        <v>46234</v>
      </c>
      <c r="DH5" s="30">
        <f t="shared" si="2"/>
        <v>46235</v>
      </c>
      <c r="DI5" s="31">
        <f t="shared" si="2"/>
        <v>46236</v>
      </c>
      <c r="DJ5" s="29">
        <f t="shared" si="2"/>
        <v>46237</v>
      </c>
      <c r="DK5" s="30">
        <f t="shared" ref="DK5:EK5" si="3">DJ5+1</f>
        <v>46238</v>
      </c>
      <c r="DL5" s="30">
        <f t="shared" si="3"/>
        <v>46239</v>
      </c>
      <c r="DM5" s="30">
        <f t="shared" si="3"/>
        <v>46240</v>
      </c>
      <c r="DN5" s="30">
        <f t="shared" si="3"/>
        <v>46241</v>
      </c>
      <c r="DO5" s="30">
        <f t="shared" si="3"/>
        <v>46242</v>
      </c>
      <c r="DP5" s="31">
        <f t="shared" si="3"/>
        <v>46243</v>
      </c>
      <c r="DQ5" s="29">
        <f t="shared" si="3"/>
        <v>46244</v>
      </c>
      <c r="DR5" s="30">
        <f t="shared" si="3"/>
        <v>46245</v>
      </c>
      <c r="DS5" s="30">
        <f t="shared" si="3"/>
        <v>46246</v>
      </c>
      <c r="DT5" s="30">
        <f t="shared" si="3"/>
        <v>46247</v>
      </c>
      <c r="DU5" s="30">
        <f t="shared" si="3"/>
        <v>46248</v>
      </c>
      <c r="DV5" s="30">
        <f t="shared" si="3"/>
        <v>46249</v>
      </c>
      <c r="DW5" s="31">
        <f t="shared" si="3"/>
        <v>46250</v>
      </c>
      <c r="DX5" s="29">
        <f t="shared" si="3"/>
        <v>46251</v>
      </c>
      <c r="DY5" s="30">
        <f t="shared" si="3"/>
        <v>46252</v>
      </c>
      <c r="DZ5" s="30">
        <f t="shared" si="3"/>
        <v>46253</v>
      </c>
      <c r="EA5" s="30">
        <f t="shared" si="3"/>
        <v>46254</v>
      </c>
      <c r="EB5" s="30">
        <f t="shared" si="3"/>
        <v>46255</v>
      </c>
      <c r="EC5" s="30">
        <f t="shared" si="3"/>
        <v>46256</v>
      </c>
      <c r="ED5" s="31">
        <f t="shared" si="3"/>
        <v>46257</v>
      </c>
      <c r="EE5" s="29">
        <f t="shared" si="3"/>
        <v>46258</v>
      </c>
      <c r="EF5" s="30">
        <f t="shared" si="3"/>
        <v>46259</v>
      </c>
      <c r="EG5" s="30">
        <f t="shared" si="3"/>
        <v>46260</v>
      </c>
      <c r="EH5" s="30">
        <f t="shared" si="3"/>
        <v>46261</v>
      </c>
      <c r="EI5" s="30">
        <f t="shared" si="3"/>
        <v>46262</v>
      </c>
      <c r="EJ5" s="30">
        <f t="shared" si="3"/>
        <v>46263</v>
      </c>
      <c r="EK5" s="31">
        <f t="shared" si="3"/>
        <v>46264</v>
      </c>
    </row>
    <row r="6" spans="1:141" ht="29.25" customHeight="1" x14ac:dyDescent="0.25">
      <c r="A6" s="7"/>
      <c r="B6" s="27" t="s">
        <v>9</v>
      </c>
      <c r="C6" s="28" t="s">
        <v>3</v>
      </c>
      <c r="D6" s="28" t="s">
        <v>2</v>
      </c>
      <c r="E6" s="28" t="s">
        <v>5</v>
      </c>
      <c r="F6" s="28" t="s">
        <v>6</v>
      </c>
      <c r="G6" s="28"/>
      <c r="H6" s="28" t="s">
        <v>7</v>
      </c>
      <c r="I6" s="35" t="str">
        <f>LEFT(TEXT(I5,"ddd"),1)</f>
        <v>M</v>
      </c>
      <c r="J6" s="35" t="str">
        <f t="shared" ref="J6:AR6" si="4">LEFT(TEXT(J5,"ddd"),1)</f>
        <v>T</v>
      </c>
      <c r="K6" s="35" t="str">
        <f t="shared" si="4"/>
        <v>W</v>
      </c>
      <c r="L6" s="35" t="str">
        <f t="shared" si="4"/>
        <v>T</v>
      </c>
      <c r="M6" s="35" t="str">
        <f t="shared" si="4"/>
        <v>F</v>
      </c>
      <c r="N6" s="35" t="str">
        <f t="shared" si="4"/>
        <v>S</v>
      </c>
      <c r="O6" s="35" t="str">
        <f t="shared" si="4"/>
        <v>S</v>
      </c>
      <c r="P6" s="35" t="str">
        <f t="shared" si="4"/>
        <v>M</v>
      </c>
      <c r="Q6" s="35" t="str">
        <f t="shared" si="4"/>
        <v>T</v>
      </c>
      <c r="R6" s="35" t="str">
        <f t="shared" si="4"/>
        <v>W</v>
      </c>
      <c r="S6" s="35" t="str">
        <f t="shared" si="4"/>
        <v>T</v>
      </c>
      <c r="T6" s="35" t="str">
        <f t="shared" si="4"/>
        <v>F</v>
      </c>
      <c r="U6" s="35" t="str">
        <f t="shared" si="4"/>
        <v>S</v>
      </c>
      <c r="V6" s="35" t="str">
        <f t="shared" si="4"/>
        <v>S</v>
      </c>
      <c r="W6" s="35" t="str">
        <f t="shared" si="4"/>
        <v>M</v>
      </c>
      <c r="X6" s="35" t="str">
        <f t="shared" si="4"/>
        <v>T</v>
      </c>
      <c r="Y6" s="35" t="str">
        <f t="shared" si="4"/>
        <v>W</v>
      </c>
      <c r="Z6" s="35" t="str">
        <f t="shared" si="4"/>
        <v>T</v>
      </c>
      <c r="AA6" s="35" t="str">
        <f t="shared" si="4"/>
        <v>F</v>
      </c>
      <c r="AB6" s="35" t="str">
        <f t="shared" si="4"/>
        <v>S</v>
      </c>
      <c r="AC6" s="35" t="str">
        <f t="shared" si="4"/>
        <v>S</v>
      </c>
      <c r="AD6" s="35" t="str">
        <f t="shared" si="4"/>
        <v>M</v>
      </c>
      <c r="AE6" s="35" t="str">
        <f t="shared" si="4"/>
        <v>T</v>
      </c>
      <c r="AF6" s="35" t="str">
        <f t="shared" si="4"/>
        <v>W</v>
      </c>
      <c r="AG6" s="35" t="str">
        <f t="shared" si="4"/>
        <v>T</v>
      </c>
      <c r="AH6" s="35" t="str">
        <f t="shared" si="4"/>
        <v>F</v>
      </c>
      <c r="AI6" s="35" t="str">
        <f t="shared" si="4"/>
        <v>S</v>
      </c>
      <c r="AJ6" s="35" t="str">
        <f t="shared" si="4"/>
        <v>S</v>
      </c>
      <c r="AK6" s="35" t="str">
        <f t="shared" si="4"/>
        <v>M</v>
      </c>
      <c r="AL6" s="35" t="str">
        <f t="shared" si="4"/>
        <v>T</v>
      </c>
      <c r="AM6" s="35" t="str">
        <f t="shared" si="4"/>
        <v>W</v>
      </c>
      <c r="AN6" s="35" t="str">
        <f t="shared" si="4"/>
        <v>T</v>
      </c>
      <c r="AO6" s="35" t="str">
        <f t="shared" si="4"/>
        <v>F</v>
      </c>
      <c r="AP6" s="35" t="str">
        <f t="shared" si="4"/>
        <v>S</v>
      </c>
      <c r="AQ6" s="35" t="str">
        <f t="shared" si="4"/>
        <v>S</v>
      </c>
      <c r="AR6" s="35" t="str">
        <f t="shared" si="4"/>
        <v>M</v>
      </c>
      <c r="AS6" s="35" t="str">
        <f t="shared" ref="AS6:BL6" si="5">LEFT(TEXT(AS5,"ddd"),1)</f>
        <v>T</v>
      </c>
      <c r="AT6" s="35" t="str">
        <f t="shared" si="5"/>
        <v>W</v>
      </c>
      <c r="AU6" s="35" t="str">
        <f t="shared" si="5"/>
        <v>T</v>
      </c>
      <c r="AV6" s="35" t="str">
        <f t="shared" si="5"/>
        <v>F</v>
      </c>
      <c r="AW6" s="35" t="str">
        <f t="shared" si="5"/>
        <v>S</v>
      </c>
      <c r="AX6" s="35" t="str">
        <f t="shared" si="5"/>
        <v>S</v>
      </c>
      <c r="AY6" s="35" t="str">
        <f t="shared" si="5"/>
        <v>M</v>
      </c>
      <c r="AZ6" s="35" t="str">
        <f t="shared" si="5"/>
        <v>T</v>
      </c>
      <c r="BA6" s="35" t="str">
        <f t="shared" si="5"/>
        <v>W</v>
      </c>
      <c r="BB6" s="35" t="str">
        <f t="shared" si="5"/>
        <v>T</v>
      </c>
      <c r="BC6" s="35" t="str">
        <f t="shared" si="5"/>
        <v>F</v>
      </c>
      <c r="BD6" s="35" t="str">
        <f t="shared" si="5"/>
        <v>S</v>
      </c>
      <c r="BE6" s="35" t="str">
        <f t="shared" si="5"/>
        <v>S</v>
      </c>
      <c r="BF6" s="35" t="str">
        <f t="shared" si="5"/>
        <v>M</v>
      </c>
      <c r="BG6" s="35" t="str">
        <f t="shared" si="5"/>
        <v>T</v>
      </c>
      <c r="BH6" s="35" t="str">
        <f t="shared" si="5"/>
        <v>W</v>
      </c>
      <c r="BI6" s="35" t="str">
        <f t="shared" si="5"/>
        <v>T</v>
      </c>
      <c r="BJ6" s="35" t="str">
        <f t="shared" si="5"/>
        <v>F</v>
      </c>
      <c r="BK6" s="35" t="str">
        <f t="shared" si="5"/>
        <v>S</v>
      </c>
      <c r="BL6" s="35" t="str">
        <f t="shared" si="5"/>
        <v>S</v>
      </c>
      <c r="BM6" s="35" t="str">
        <f t="shared" ref="BM6:DX6" si="6">LEFT(TEXT(BM5,"ddd"),1)</f>
        <v>M</v>
      </c>
      <c r="BN6" s="35" t="str">
        <f t="shared" si="6"/>
        <v>T</v>
      </c>
      <c r="BO6" s="35" t="str">
        <f t="shared" si="6"/>
        <v>W</v>
      </c>
      <c r="BP6" s="35" t="str">
        <f t="shared" si="6"/>
        <v>T</v>
      </c>
      <c r="BQ6" s="35" t="str">
        <f t="shared" si="6"/>
        <v>F</v>
      </c>
      <c r="BR6" s="35" t="str">
        <f t="shared" si="6"/>
        <v>S</v>
      </c>
      <c r="BS6" s="35" t="str">
        <f t="shared" si="6"/>
        <v>S</v>
      </c>
      <c r="BT6" s="35" t="str">
        <f t="shared" si="6"/>
        <v>M</v>
      </c>
      <c r="BU6" s="35" t="str">
        <f t="shared" si="6"/>
        <v>T</v>
      </c>
      <c r="BV6" s="35" t="str">
        <f t="shared" si="6"/>
        <v>W</v>
      </c>
      <c r="BW6" s="35" t="str">
        <f t="shared" si="6"/>
        <v>T</v>
      </c>
      <c r="BX6" s="35" t="str">
        <f t="shared" si="6"/>
        <v>F</v>
      </c>
      <c r="BY6" s="35" t="str">
        <f t="shared" si="6"/>
        <v>S</v>
      </c>
      <c r="BZ6" s="35" t="str">
        <f t="shared" si="6"/>
        <v>S</v>
      </c>
      <c r="CA6" s="35" t="str">
        <f t="shared" si="6"/>
        <v>M</v>
      </c>
      <c r="CB6" s="35" t="str">
        <f t="shared" si="6"/>
        <v>T</v>
      </c>
      <c r="CC6" s="35" t="str">
        <f t="shared" si="6"/>
        <v>W</v>
      </c>
      <c r="CD6" s="35" t="str">
        <f t="shared" si="6"/>
        <v>T</v>
      </c>
      <c r="CE6" s="35" t="str">
        <f t="shared" si="6"/>
        <v>F</v>
      </c>
      <c r="CF6" s="35" t="str">
        <f t="shared" si="6"/>
        <v>S</v>
      </c>
      <c r="CG6" s="35" t="str">
        <f t="shared" si="6"/>
        <v>S</v>
      </c>
      <c r="CH6" s="35" t="str">
        <f t="shared" si="6"/>
        <v>M</v>
      </c>
      <c r="CI6" s="35" t="str">
        <f t="shared" si="6"/>
        <v>T</v>
      </c>
      <c r="CJ6" s="35" t="str">
        <f t="shared" si="6"/>
        <v>W</v>
      </c>
      <c r="CK6" s="35" t="str">
        <f t="shared" si="6"/>
        <v>T</v>
      </c>
      <c r="CL6" s="35" t="str">
        <f t="shared" si="6"/>
        <v>F</v>
      </c>
      <c r="CM6" s="35" t="str">
        <f t="shared" si="6"/>
        <v>S</v>
      </c>
      <c r="CN6" s="35" t="str">
        <f t="shared" si="6"/>
        <v>S</v>
      </c>
      <c r="CO6" s="35" t="str">
        <f t="shared" si="6"/>
        <v>M</v>
      </c>
      <c r="CP6" s="35" t="str">
        <f t="shared" si="6"/>
        <v>T</v>
      </c>
      <c r="CQ6" s="35" t="str">
        <f t="shared" si="6"/>
        <v>W</v>
      </c>
      <c r="CR6" s="35" t="str">
        <f t="shared" si="6"/>
        <v>T</v>
      </c>
      <c r="CS6" s="35" t="str">
        <f t="shared" si="6"/>
        <v>F</v>
      </c>
      <c r="CT6" s="35" t="str">
        <f t="shared" si="6"/>
        <v>S</v>
      </c>
      <c r="CU6" s="35" t="str">
        <f t="shared" si="6"/>
        <v>S</v>
      </c>
      <c r="CV6" s="35" t="str">
        <f t="shared" si="6"/>
        <v>M</v>
      </c>
      <c r="CW6" s="35" t="str">
        <f t="shared" si="6"/>
        <v>T</v>
      </c>
      <c r="CX6" s="35" t="str">
        <f t="shared" si="6"/>
        <v>W</v>
      </c>
      <c r="CY6" s="35" t="str">
        <f t="shared" si="6"/>
        <v>T</v>
      </c>
      <c r="CZ6" s="35" t="str">
        <f t="shared" si="6"/>
        <v>F</v>
      </c>
      <c r="DA6" s="35" t="str">
        <f t="shared" si="6"/>
        <v>S</v>
      </c>
      <c r="DB6" s="35" t="str">
        <f t="shared" si="6"/>
        <v>S</v>
      </c>
      <c r="DC6" s="35" t="str">
        <f t="shared" si="6"/>
        <v>M</v>
      </c>
      <c r="DD6" s="35" t="str">
        <f t="shared" si="6"/>
        <v>T</v>
      </c>
      <c r="DE6" s="35" t="str">
        <f t="shared" si="6"/>
        <v>W</v>
      </c>
      <c r="DF6" s="35" t="str">
        <f t="shared" si="6"/>
        <v>T</v>
      </c>
      <c r="DG6" s="35" t="str">
        <f t="shared" si="6"/>
        <v>F</v>
      </c>
      <c r="DH6" s="35" t="str">
        <f t="shared" si="6"/>
        <v>S</v>
      </c>
      <c r="DI6" s="35" t="str">
        <f t="shared" si="6"/>
        <v>S</v>
      </c>
      <c r="DJ6" s="35" t="str">
        <f t="shared" si="6"/>
        <v>M</v>
      </c>
      <c r="DK6" s="35" t="str">
        <f t="shared" si="6"/>
        <v>T</v>
      </c>
      <c r="DL6" s="35" t="str">
        <f t="shared" si="6"/>
        <v>W</v>
      </c>
      <c r="DM6" s="35" t="str">
        <f t="shared" si="6"/>
        <v>T</v>
      </c>
      <c r="DN6" s="35" t="str">
        <f t="shared" si="6"/>
        <v>F</v>
      </c>
      <c r="DO6" s="35" t="str">
        <f t="shared" si="6"/>
        <v>S</v>
      </c>
      <c r="DP6" s="35" t="str">
        <f t="shared" si="6"/>
        <v>S</v>
      </c>
      <c r="DQ6" s="35" t="str">
        <f t="shared" si="6"/>
        <v>M</v>
      </c>
      <c r="DR6" s="35" t="str">
        <f t="shared" si="6"/>
        <v>T</v>
      </c>
      <c r="DS6" s="35" t="str">
        <f t="shared" si="6"/>
        <v>W</v>
      </c>
      <c r="DT6" s="35" t="str">
        <f t="shared" si="6"/>
        <v>T</v>
      </c>
      <c r="DU6" s="35" t="str">
        <f t="shared" si="6"/>
        <v>F</v>
      </c>
      <c r="DV6" s="35" t="str">
        <f t="shared" si="6"/>
        <v>S</v>
      </c>
      <c r="DW6" s="35" t="str">
        <f t="shared" si="6"/>
        <v>S</v>
      </c>
      <c r="DX6" s="35" t="str">
        <f t="shared" si="6"/>
        <v>M</v>
      </c>
      <c r="DY6" s="35" t="str">
        <f t="shared" ref="DY6:EK6" si="7">LEFT(TEXT(DY5,"ddd"),1)</f>
        <v>T</v>
      </c>
      <c r="DZ6" s="35" t="str">
        <f t="shared" si="7"/>
        <v>W</v>
      </c>
      <c r="EA6" s="35" t="str">
        <f t="shared" si="7"/>
        <v>T</v>
      </c>
      <c r="EB6" s="35" t="str">
        <f t="shared" si="7"/>
        <v>F</v>
      </c>
      <c r="EC6" s="35" t="str">
        <f t="shared" si="7"/>
        <v>S</v>
      </c>
      <c r="ED6" s="35" t="str">
        <f t="shared" si="7"/>
        <v>S</v>
      </c>
      <c r="EE6" s="35" t="str">
        <f t="shared" si="7"/>
        <v>M</v>
      </c>
      <c r="EF6" s="35" t="str">
        <f t="shared" si="7"/>
        <v>T</v>
      </c>
      <c r="EG6" s="35" t="str">
        <f t="shared" si="7"/>
        <v>W</v>
      </c>
      <c r="EH6" s="35" t="str">
        <f t="shared" si="7"/>
        <v>T</v>
      </c>
      <c r="EI6" s="35" t="str">
        <f t="shared" si="7"/>
        <v>F</v>
      </c>
      <c r="EJ6" s="35" t="str">
        <f t="shared" si="7"/>
        <v>S</v>
      </c>
      <c r="EK6" s="35" t="str">
        <f t="shared" si="7"/>
        <v>S</v>
      </c>
    </row>
    <row r="7" spans="1:141" s="42" customFormat="1" ht="21" x14ac:dyDescent="0.25">
      <c r="A7" s="7"/>
      <c r="B7" s="62" t="s">
        <v>33</v>
      </c>
      <c r="C7" s="62"/>
      <c r="D7" s="62"/>
      <c r="E7" s="62"/>
      <c r="F7" s="62"/>
      <c r="G7" s="62"/>
      <c r="H7" s="40" t="str">
        <f t="shared" ref="H7:H27" si="8">IF(OR(ISBLANK(task_start),ISBLANK(task_end)),"",task_end-task_start+1)</f>
        <v/>
      </c>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c r="BP7" s="41"/>
      <c r="BQ7" s="41"/>
      <c r="BR7" s="41"/>
      <c r="BS7" s="41"/>
      <c r="BT7" s="41"/>
      <c r="BU7" s="41"/>
      <c r="BV7" s="41"/>
      <c r="BW7" s="41"/>
      <c r="BX7" s="41"/>
      <c r="BY7" s="41"/>
      <c r="BZ7" s="41"/>
      <c r="CA7" s="41"/>
      <c r="CB7" s="41"/>
      <c r="CC7" s="41"/>
      <c r="CD7" s="41"/>
      <c r="CE7" s="41"/>
      <c r="CF7" s="41"/>
      <c r="CG7" s="41"/>
      <c r="CH7" s="41"/>
      <c r="CI7" s="41"/>
      <c r="CJ7" s="41"/>
      <c r="CK7" s="41"/>
      <c r="CL7" s="41"/>
      <c r="CM7" s="41"/>
      <c r="CN7" s="41"/>
      <c r="CO7" s="41"/>
      <c r="CP7" s="41"/>
      <c r="CQ7" s="41"/>
      <c r="CR7" s="41"/>
      <c r="CS7" s="41"/>
      <c r="CT7" s="41"/>
      <c r="CU7" s="41"/>
      <c r="CV7" s="41"/>
      <c r="CW7" s="41"/>
      <c r="CX7" s="41"/>
      <c r="CY7" s="41"/>
      <c r="CZ7" s="41"/>
      <c r="DA7" s="41"/>
      <c r="DB7" s="41"/>
      <c r="DC7" s="41"/>
      <c r="DD7" s="41"/>
      <c r="DE7" s="41"/>
      <c r="DF7" s="41"/>
      <c r="DG7" s="41"/>
      <c r="DH7" s="41"/>
      <c r="DI7" s="41"/>
      <c r="DJ7" s="41"/>
      <c r="DK7" s="41"/>
      <c r="DL7" s="41"/>
      <c r="DM7" s="41"/>
      <c r="DN7" s="41"/>
      <c r="DO7" s="41"/>
      <c r="DP7" s="41"/>
      <c r="DQ7" s="41"/>
      <c r="DR7" s="41"/>
      <c r="DS7" s="41"/>
      <c r="DT7" s="41"/>
      <c r="DU7" s="41"/>
      <c r="DV7" s="41"/>
      <c r="DW7" s="41"/>
      <c r="DX7" s="41"/>
      <c r="DY7" s="41"/>
      <c r="DZ7" s="41"/>
      <c r="EA7" s="41"/>
      <c r="EB7" s="41"/>
      <c r="EC7" s="41"/>
      <c r="ED7" s="41"/>
      <c r="EE7" s="41"/>
      <c r="EF7" s="41"/>
      <c r="EG7" s="41"/>
      <c r="EH7" s="41"/>
      <c r="EI7" s="41"/>
      <c r="EJ7" s="41"/>
      <c r="EK7" s="41"/>
    </row>
    <row r="8" spans="1:141" s="42" customFormat="1" ht="21" x14ac:dyDescent="0.25">
      <c r="A8" s="7"/>
      <c r="B8" s="36" t="s">
        <v>30</v>
      </c>
      <c r="C8" s="57" t="s">
        <v>25</v>
      </c>
      <c r="D8" s="37">
        <v>1</v>
      </c>
      <c r="E8" s="38">
        <v>46122</v>
      </c>
      <c r="F8" s="39">
        <v>46122</v>
      </c>
      <c r="G8" s="40"/>
      <c r="H8" s="40">
        <f t="shared" si="8"/>
        <v>1</v>
      </c>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c r="BP8" s="41"/>
      <c r="BQ8" s="41"/>
      <c r="BR8" s="41"/>
      <c r="BS8" s="41"/>
      <c r="BT8" s="41"/>
      <c r="BU8" s="41"/>
      <c r="BV8" s="41"/>
      <c r="BW8" s="41"/>
      <c r="BX8" s="41"/>
      <c r="BY8" s="41"/>
      <c r="BZ8" s="41"/>
      <c r="CA8" s="41"/>
      <c r="CB8" s="41"/>
      <c r="CC8" s="41"/>
      <c r="CD8" s="41"/>
      <c r="CE8" s="41"/>
      <c r="CF8" s="41"/>
      <c r="CG8" s="41"/>
      <c r="CH8" s="41"/>
      <c r="CI8" s="41"/>
      <c r="CJ8" s="41"/>
      <c r="CK8" s="41"/>
      <c r="CL8" s="41"/>
      <c r="CM8" s="41"/>
      <c r="CN8" s="41"/>
      <c r="CO8" s="41"/>
      <c r="CP8" s="41"/>
      <c r="CQ8" s="41"/>
      <c r="CR8" s="41"/>
      <c r="CS8" s="41"/>
      <c r="CT8" s="41"/>
      <c r="CU8" s="41"/>
      <c r="CV8" s="41"/>
      <c r="CW8" s="41"/>
      <c r="CX8" s="41"/>
      <c r="CY8" s="41"/>
      <c r="CZ8" s="41"/>
      <c r="DA8" s="41"/>
      <c r="DB8" s="41"/>
      <c r="DC8" s="41"/>
      <c r="DD8" s="41"/>
      <c r="DE8" s="41"/>
      <c r="DF8" s="41"/>
      <c r="DG8" s="41"/>
      <c r="DH8" s="41"/>
      <c r="DI8" s="41"/>
      <c r="DJ8" s="41"/>
      <c r="DK8" s="41"/>
      <c r="DL8" s="41"/>
      <c r="DM8" s="41"/>
      <c r="DN8" s="41"/>
      <c r="DO8" s="41"/>
      <c r="DP8" s="41"/>
      <c r="DQ8" s="41"/>
      <c r="DR8" s="41"/>
      <c r="DS8" s="41"/>
      <c r="DT8" s="41"/>
      <c r="DU8" s="41"/>
      <c r="DV8" s="41"/>
      <c r="DW8" s="41"/>
      <c r="DX8" s="41"/>
      <c r="DY8" s="41"/>
      <c r="DZ8" s="41"/>
      <c r="EA8" s="41"/>
      <c r="EB8" s="41"/>
      <c r="EC8" s="41"/>
      <c r="ED8" s="41"/>
      <c r="EE8" s="41"/>
      <c r="EF8" s="41"/>
      <c r="EG8" s="41"/>
      <c r="EH8" s="41"/>
      <c r="EI8" s="41"/>
      <c r="EJ8" s="41"/>
      <c r="EK8" s="41"/>
    </row>
    <row r="9" spans="1:141" s="42" customFormat="1" ht="21" x14ac:dyDescent="0.25">
      <c r="A9" s="7"/>
      <c r="B9" s="36" t="s">
        <v>31</v>
      </c>
      <c r="C9" s="57" t="s">
        <v>26</v>
      </c>
      <c r="D9" s="37">
        <v>1</v>
      </c>
      <c r="E9" s="38">
        <v>46122</v>
      </c>
      <c r="F9" s="39">
        <v>46122</v>
      </c>
      <c r="G9" s="40"/>
      <c r="H9" s="40">
        <f t="shared" si="8"/>
        <v>1</v>
      </c>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c r="BP9" s="41"/>
      <c r="BQ9" s="41"/>
      <c r="BR9" s="41"/>
      <c r="BS9" s="41"/>
      <c r="BT9" s="41"/>
      <c r="BU9" s="41"/>
      <c r="BV9" s="41"/>
      <c r="BW9" s="41"/>
      <c r="BX9" s="41"/>
      <c r="BY9" s="41"/>
      <c r="BZ9" s="41"/>
      <c r="CA9" s="41"/>
      <c r="CB9" s="41"/>
      <c r="CC9" s="41"/>
      <c r="CD9" s="41"/>
      <c r="CE9" s="41"/>
      <c r="CF9" s="41"/>
      <c r="CG9" s="41"/>
      <c r="CH9" s="41"/>
      <c r="CI9" s="41"/>
      <c r="CJ9" s="41"/>
      <c r="CK9" s="41"/>
      <c r="CL9" s="41"/>
      <c r="CM9" s="41"/>
      <c r="CN9" s="41"/>
      <c r="CO9" s="41"/>
      <c r="CP9" s="41"/>
      <c r="CQ9" s="41"/>
      <c r="CR9" s="41"/>
      <c r="CS9" s="41"/>
      <c r="CT9" s="41"/>
      <c r="CU9" s="41"/>
      <c r="CV9" s="41"/>
      <c r="CW9" s="41"/>
      <c r="CX9" s="41"/>
      <c r="CY9" s="41"/>
      <c r="CZ9" s="41"/>
      <c r="DA9" s="41"/>
      <c r="DB9" s="41"/>
      <c r="DC9" s="41"/>
      <c r="DD9" s="41"/>
      <c r="DE9" s="41"/>
      <c r="DF9" s="41"/>
      <c r="DG9" s="41"/>
      <c r="DH9" s="41"/>
      <c r="DI9" s="41"/>
      <c r="DJ9" s="41"/>
      <c r="DK9" s="41"/>
      <c r="DL9" s="41"/>
      <c r="DM9" s="41"/>
      <c r="DN9" s="41"/>
      <c r="DO9" s="41"/>
      <c r="DP9" s="41"/>
      <c r="DQ9" s="41"/>
      <c r="DR9" s="41"/>
      <c r="DS9" s="41"/>
      <c r="DT9" s="41"/>
      <c r="DU9" s="41"/>
      <c r="DV9" s="41"/>
      <c r="DW9" s="41"/>
      <c r="DX9" s="41"/>
      <c r="DY9" s="41"/>
      <c r="DZ9" s="41"/>
      <c r="EA9" s="41"/>
      <c r="EB9" s="41"/>
      <c r="EC9" s="41"/>
      <c r="ED9" s="41"/>
      <c r="EE9" s="41"/>
      <c r="EF9" s="41"/>
      <c r="EG9" s="41"/>
      <c r="EH9" s="41"/>
      <c r="EI9" s="41"/>
      <c r="EJ9" s="41"/>
      <c r="EK9" s="41"/>
    </row>
    <row r="10" spans="1:141" s="42" customFormat="1" ht="21" x14ac:dyDescent="0.25">
      <c r="A10" s="7"/>
      <c r="B10" s="36" t="s">
        <v>32</v>
      </c>
      <c r="C10" s="57" t="s">
        <v>25</v>
      </c>
      <c r="D10" s="37">
        <v>1</v>
      </c>
      <c r="E10" s="38">
        <v>46122</v>
      </c>
      <c r="F10" s="39">
        <v>46122</v>
      </c>
      <c r="G10" s="40"/>
      <c r="H10" s="40">
        <f t="shared" si="8"/>
        <v>1</v>
      </c>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c r="EI10" s="41"/>
      <c r="EJ10" s="41"/>
      <c r="EK10" s="41"/>
    </row>
    <row r="11" spans="1:141" s="42" customFormat="1" ht="21" x14ac:dyDescent="0.25">
      <c r="A11" s="7"/>
      <c r="B11" s="36" t="s">
        <v>35</v>
      </c>
      <c r="C11" s="57" t="s">
        <v>25</v>
      </c>
      <c r="D11" s="37">
        <v>1</v>
      </c>
      <c r="E11" s="38">
        <v>46122</v>
      </c>
      <c r="F11" s="39">
        <v>46122</v>
      </c>
      <c r="G11" s="40"/>
      <c r="H11" s="40"/>
      <c r="I11" s="41"/>
      <c r="J11" s="41"/>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1"/>
      <c r="BF11" s="41"/>
      <c r="BG11" s="41"/>
      <c r="BH11" s="41"/>
      <c r="BI11" s="41"/>
      <c r="BJ11" s="41"/>
      <c r="BK11" s="41"/>
      <c r="BL11" s="41"/>
      <c r="BM11" s="41"/>
      <c r="BN11" s="41"/>
      <c r="BO11" s="41"/>
      <c r="BP11" s="41"/>
      <c r="BQ11" s="41"/>
      <c r="BR11" s="41"/>
      <c r="BS11" s="41"/>
      <c r="BT11" s="41"/>
      <c r="BU11" s="41"/>
      <c r="BV11" s="41"/>
      <c r="BW11" s="41"/>
      <c r="BX11" s="41"/>
      <c r="BY11" s="41"/>
      <c r="BZ11" s="41"/>
      <c r="CA11" s="41"/>
      <c r="CB11" s="41"/>
      <c r="CC11" s="41"/>
      <c r="CD11" s="41"/>
      <c r="CE11" s="41"/>
      <c r="CF11" s="41"/>
      <c r="CG11" s="41"/>
      <c r="CH11" s="41"/>
      <c r="CI11" s="41"/>
      <c r="CJ11" s="41"/>
      <c r="CK11" s="41"/>
      <c r="CL11" s="41"/>
      <c r="CM11" s="41"/>
      <c r="CN11" s="41"/>
      <c r="CO11" s="41"/>
      <c r="CP11" s="41"/>
      <c r="CQ11" s="41"/>
      <c r="CR11" s="41"/>
      <c r="CS11" s="41"/>
      <c r="CT11" s="41"/>
      <c r="CU11" s="41"/>
      <c r="CV11" s="41"/>
      <c r="CW11" s="41"/>
      <c r="CX11" s="41"/>
      <c r="CY11" s="41"/>
      <c r="CZ11" s="41"/>
      <c r="DA11" s="41"/>
      <c r="DB11" s="41"/>
      <c r="DC11" s="41"/>
      <c r="DD11" s="41"/>
      <c r="DE11" s="41"/>
      <c r="DF11" s="41"/>
      <c r="DG11" s="41"/>
      <c r="DH11" s="41"/>
      <c r="DI11" s="41"/>
      <c r="DJ11" s="41"/>
      <c r="DK11" s="41"/>
      <c r="DL11" s="41"/>
      <c r="DM11" s="41"/>
      <c r="DN11" s="41"/>
      <c r="DO11" s="41"/>
      <c r="DP11" s="41"/>
      <c r="DQ11" s="41"/>
      <c r="DR11" s="41"/>
      <c r="DS11" s="41"/>
      <c r="DT11" s="41"/>
      <c r="DU11" s="41"/>
      <c r="DV11" s="41"/>
      <c r="DW11" s="41"/>
      <c r="DX11" s="41"/>
      <c r="DY11" s="41"/>
      <c r="DZ11" s="41"/>
      <c r="EA11" s="41"/>
      <c r="EB11" s="41"/>
      <c r="EC11" s="41"/>
      <c r="ED11" s="41"/>
      <c r="EE11" s="41"/>
      <c r="EF11" s="41"/>
      <c r="EG11" s="41"/>
      <c r="EH11" s="41"/>
      <c r="EI11" s="41"/>
      <c r="EJ11" s="41"/>
      <c r="EK11" s="41"/>
    </row>
    <row r="12" spans="1:141" s="42" customFormat="1" ht="21" x14ac:dyDescent="0.25">
      <c r="A12" s="7"/>
      <c r="B12" s="36" t="s">
        <v>34</v>
      </c>
      <c r="C12" s="57" t="s">
        <v>25</v>
      </c>
      <c r="D12" s="37">
        <v>1</v>
      </c>
      <c r="E12" s="38">
        <v>46122</v>
      </c>
      <c r="F12" s="39">
        <v>46122</v>
      </c>
      <c r="G12" s="40"/>
      <c r="H12" s="40"/>
      <c r="I12" s="41"/>
      <c r="J12" s="41"/>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c r="EJ12" s="41"/>
      <c r="EK12" s="41"/>
    </row>
    <row r="13" spans="1:141" s="42" customFormat="1" ht="21" x14ac:dyDescent="0.25">
      <c r="A13" s="7"/>
      <c r="B13" s="36" t="s">
        <v>36</v>
      </c>
      <c r="C13" s="57" t="s">
        <v>25</v>
      </c>
      <c r="D13" s="37">
        <v>1</v>
      </c>
      <c r="E13" s="38">
        <v>46122</v>
      </c>
      <c r="F13" s="39">
        <v>46122</v>
      </c>
      <c r="G13" s="40"/>
      <c r="H13" s="40">
        <f t="shared" si="8"/>
        <v>1</v>
      </c>
      <c r="I13" s="41"/>
      <c r="J13" s="41"/>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c r="AW13" s="41"/>
      <c r="AX13" s="41"/>
      <c r="AY13" s="41"/>
      <c r="AZ13" s="41"/>
      <c r="BA13" s="41"/>
      <c r="BB13" s="41"/>
      <c r="BC13" s="41"/>
      <c r="BD13" s="41"/>
      <c r="BE13" s="41"/>
      <c r="BF13" s="41"/>
      <c r="BG13" s="41"/>
      <c r="BH13" s="41"/>
      <c r="BI13" s="41"/>
      <c r="BJ13" s="41"/>
      <c r="BK13" s="41"/>
      <c r="BL13" s="41"/>
      <c r="BM13" s="41"/>
      <c r="BN13" s="41"/>
      <c r="BO13" s="41"/>
      <c r="BP13" s="41"/>
      <c r="BQ13" s="41"/>
      <c r="BR13" s="41"/>
      <c r="BS13" s="41"/>
      <c r="BT13" s="41"/>
      <c r="BU13" s="41"/>
      <c r="BV13" s="41"/>
      <c r="BW13" s="41"/>
      <c r="BX13" s="41"/>
      <c r="BY13" s="41"/>
      <c r="BZ13" s="41"/>
      <c r="CA13" s="41"/>
      <c r="CB13" s="41"/>
      <c r="CC13" s="41"/>
      <c r="CD13" s="41"/>
      <c r="CE13" s="41"/>
      <c r="CF13" s="41"/>
      <c r="CG13" s="41"/>
      <c r="CH13" s="41"/>
      <c r="CI13" s="41"/>
      <c r="CJ13" s="41"/>
      <c r="CK13" s="41"/>
      <c r="CL13" s="41"/>
      <c r="CM13" s="41"/>
      <c r="CN13" s="41"/>
      <c r="CO13" s="41"/>
      <c r="CP13" s="41"/>
      <c r="CQ13" s="41"/>
      <c r="CR13" s="41"/>
      <c r="CS13" s="41"/>
      <c r="CT13" s="41"/>
      <c r="CU13" s="41"/>
      <c r="CV13" s="41"/>
      <c r="CW13" s="41"/>
      <c r="CX13" s="41"/>
      <c r="CY13" s="41"/>
      <c r="CZ13" s="41"/>
      <c r="DA13" s="41"/>
      <c r="DB13" s="41"/>
      <c r="DC13" s="41"/>
      <c r="DD13" s="41"/>
      <c r="DE13" s="41"/>
      <c r="DF13" s="41"/>
      <c r="DG13" s="41"/>
      <c r="DH13" s="41"/>
      <c r="DI13" s="41"/>
      <c r="DJ13" s="41"/>
      <c r="DK13" s="41"/>
      <c r="DL13" s="41"/>
      <c r="DM13" s="41"/>
      <c r="DN13" s="41"/>
      <c r="DO13" s="41"/>
      <c r="DP13" s="41"/>
      <c r="DQ13" s="41"/>
      <c r="DR13" s="41"/>
      <c r="DS13" s="41"/>
      <c r="DT13" s="41"/>
      <c r="DU13" s="41"/>
      <c r="DV13" s="41"/>
      <c r="DW13" s="41"/>
      <c r="DX13" s="41"/>
      <c r="DY13" s="41"/>
      <c r="DZ13" s="41"/>
      <c r="EA13" s="41"/>
      <c r="EB13" s="41"/>
      <c r="EC13" s="41"/>
      <c r="ED13" s="41"/>
      <c r="EE13" s="41"/>
      <c r="EF13" s="41"/>
      <c r="EG13" s="41"/>
      <c r="EH13" s="41"/>
      <c r="EI13" s="41"/>
      <c r="EJ13" s="41"/>
      <c r="EK13" s="41"/>
    </row>
    <row r="14" spans="1:141" s="42" customFormat="1" ht="21" x14ac:dyDescent="0.25">
      <c r="A14" s="7"/>
      <c r="B14" s="36"/>
      <c r="C14" s="57"/>
      <c r="D14" s="37"/>
      <c r="E14" s="38"/>
      <c r="F14" s="39"/>
      <c r="G14" s="40"/>
      <c r="H14" s="40"/>
      <c r="I14" s="41"/>
      <c r="J14" s="41"/>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c r="ED14" s="41"/>
      <c r="EE14" s="41"/>
      <c r="EF14" s="41"/>
      <c r="EG14" s="41"/>
      <c r="EH14" s="41"/>
      <c r="EI14" s="41"/>
      <c r="EJ14" s="41"/>
      <c r="EK14" s="41"/>
    </row>
    <row r="15" spans="1:141" s="42" customFormat="1" ht="21" x14ac:dyDescent="0.25">
      <c r="A15" s="7"/>
      <c r="B15" s="62" t="s">
        <v>37</v>
      </c>
      <c r="C15" s="62"/>
      <c r="D15" s="62"/>
      <c r="E15" s="62"/>
      <c r="F15" s="62"/>
      <c r="G15" s="62"/>
      <c r="H15" s="40" t="str">
        <f t="shared" si="8"/>
        <v/>
      </c>
      <c r="I15" s="41"/>
      <c r="J15" s="41"/>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c r="AW15" s="41"/>
      <c r="AX15" s="41"/>
      <c r="AY15" s="41"/>
      <c r="AZ15" s="41"/>
      <c r="BA15" s="41"/>
      <c r="BB15" s="41"/>
      <c r="BC15" s="41"/>
      <c r="BD15" s="41"/>
      <c r="BE15" s="41"/>
      <c r="BF15" s="41"/>
      <c r="BG15" s="41"/>
      <c r="BH15" s="41"/>
      <c r="BI15" s="41"/>
      <c r="BJ15" s="41"/>
      <c r="BK15" s="41"/>
      <c r="BL15" s="41"/>
      <c r="BM15" s="41"/>
      <c r="BN15" s="41"/>
      <c r="BO15" s="41"/>
      <c r="BP15" s="41"/>
      <c r="BQ15" s="41"/>
      <c r="BR15" s="41"/>
      <c r="BS15" s="41"/>
      <c r="BT15" s="41"/>
      <c r="BU15" s="41"/>
      <c r="BV15" s="41"/>
      <c r="BW15" s="41"/>
      <c r="BX15" s="41"/>
      <c r="BY15" s="41"/>
      <c r="BZ15" s="41"/>
      <c r="CA15" s="41"/>
      <c r="CB15" s="41"/>
      <c r="CC15" s="41"/>
      <c r="CD15" s="41"/>
      <c r="CE15" s="41"/>
      <c r="CF15" s="41"/>
      <c r="CG15" s="41"/>
      <c r="CH15" s="41"/>
      <c r="CI15" s="41"/>
      <c r="CJ15" s="41"/>
      <c r="CK15" s="41"/>
      <c r="CL15" s="41"/>
      <c r="CM15" s="41"/>
      <c r="CN15" s="41"/>
      <c r="CO15" s="41"/>
      <c r="CP15" s="41"/>
      <c r="CQ15" s="41"/>
      <c r="CR15" s="41"/>
      <c r="CS15" s="41"/>
      <c r="CT15" s="41"/>
      <c r="CU15" s="41"/>
      <c r="CV15" s="41"/>
      <c r="CW15" s="41"/>
      <c r="CX15" s="41"/>
      <c r="CY15" s="41"/>
      <c r="CZ15" s="41"/>
      <c r="DA15" s="41"/>
      <c r="DB15" s="41"/>
      <c r="DC15" s="41"/>
      <c r="DD15" s="41"/>
      <c r="DE15" s="41"/>
      <c r="DF15" s="41"/>
      <c r="DG15" s="41"/>
      <c r="DH15" s="41"/>
      <c r="DI15" s="41"/>
      <c r="DJ15" s="41"/>
      <c r="DK15" s="41"/>
      <c r="DL15" s="41"/>
      <c r="DM15" s="41"/>
      <c r="DN15" s="41"/>
      <c r="DO15" s="41"/>
      <c r="DP15" s="41"/>
      <c r="DQ15" s="41"/>
      <c r="DR15" s="41"/>
      <c r="DS15" s="41"/>
      <c r="DT15" s="41"/>
      <c r="DU15" s="41"/>
      <c r="DV15" s="41"/>
      <c r="DW15" s="41"/>
      <c r="DX15" s="41"/>
      <c r="DY15" s="41"/>
      <c r="DZ15" s="41"/>
      <c r="EA15" s="41"/>
      <c r="EB15" s="41"/>
      <c r="EC15" s="41"/>
      <c r="ED15" s="41"/>
      <c r="EE15" s="41"/>
      <c r="EF15" s="41"/>
      <c r="EG15" s="41"/>
      <c r="EH15" s="41"/>
      <c r="EI15" s="41"/>
      <c r="EJ15" s="41"/>
      <c r="EK15" s="41"/>
    </row>
    <row r="16" spans="1:141" s="42" customFormat="1" ht="21" x14ac:dyDescent="0.25">
      <c r="A16" s="7"/>
      <c r="B16" s="36" t="s">
        <v>38</v>
      </c>
      <c r="C16" s="57" t="s">
        <v>61</v>
      </c>
      <c r="D16" s="37">
        <v>1</v>
      </c>
      <c r="E16" s="38">
        <v>46125</v>
      </c>
      <c r="F16" s="39">
        <v>46128</v>
      </c>
      <c r="G16" s="40"/>
      <c r="H16" s="40">
        <f t="shared" si="8"/>
        <v>4</v>
      </c>
      <c r="I16" s="41"/>
      <c r="J16" s="41"/>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c r="AW16" s="41"/>
      <c r="AX16" s="41"/>
      <c r="AY16" s="41"/>
      <c r="AZ16" s="41"/>
      <c r="BA16" s="41"/>
      <c r="BB16" s="41"/>
      <c r="BC16" s="41"/>
      <c r="BD16" s="41"/>
      <c r="BE16" s="41"/>
      <c r="BF16" s="41"/>
      <c r="BG16" s="41"/>
      <c r="BH16" s="41"/>
      <c r="BI16" s="41"/>
      <c r="BJ16" s="41"/>
      <c r="BK16" s="41"/>
      <c r="BL16" s="41"/>
      <c r="BM16" s="41"/>
      <c r="BN16" s="41"/>
      <c r="BO16" s="41"/>
      <c r="BP16" s="41"/>
      <c r="BQ16" s="41"/>
      <c r="BR16" s="41"/>
      <c r="BS16" s="41"/>
      <c r="BT16" s="41"/>
      <c r="BU16" s="41"/>
      <c r="BV16" s="41"/>
      <c r="BW16" s="41"/>
      <c r="BX16" s="41"/>
      <c r="BY16" s="41"/>
      <c r="BZ16" s="41"/>
      <c r="CA16" s="41"/>
      <c r="CB16" s="41"/>
      <c r="CC16" s="41"/>
      <c r="CD16" s="41"/>
      <c r="CE16" s="41"/>
      <c r="CF16" s="41"/>
      <c r="CG16" s="41"/>
      <c r="CH16" s="41"/>
      <c r="CI16" s="41"/>
      <c r="CJ16" s="41"/>
      <c r="CK16" s="41"/>
      <c r="CL16" s="41"/>
      <c r="CM16" s="41"/>
      <c r="CN16" s="41"/>
      <c r="CO16" s="41"/>
      <c r="CP16" s="41"/>
      <c r="CQ16" s="41"/>
      <c r="CR16" s="41"/>
      <c r="CS16" s="41"/>
      <c r="CT16" s="41"/>
      <c r="CU16" s="41"/>
      <c r="CV16" s="41"/>
      <c r="CW16" s="41"/>
      <c r="CX16" s="41"/>
      <c r="CY16" s="41"/>
      <c r="CZ16" s="41"/>
      <c r="DA16" s="41"/>
      <c r="DB16" s="41"/>
      <c r="DC16" s="41"/>
      <c r="DD16" s="41"/>
      <c r="DE16" s="41"/>
      <c r="DF16" s="41"/>
      <c r="DG16" s="41"/>
      <c r="DH16" s="41"/>
      <c r="DI16" s="41"/>
      <c r="DJ16" s="41"/>
      <c r="DK16" s="41"/>
      <c r="DL16" s="41"/>
      <c r="DM16" s="41"/>
      <c r="DN16" s="41"/>
      <c r="DO16" s="41"/>
      <c r="DP16" s="41"/>
      <c r="DQ16" s="41"/>
      <c r="DR16" s="41"/>
      <c r="DS16" s="41"/>
      <c r="DT16" s="41"/>
      <c r="DU16" s="41"/>
      <c r="DV16" s="41"/>
      <c r="DW16" s="41"/>
      <c r="DX16" s="41"/>
      <c r="DY16" s="41"/>
      <c r="DZ16" s="41"/>
      <c r="EA16" s="41"/>
      <c r="EB16" s="41"/>
      <c r="EC16" s="41"/>
      <c r="ED16" s="41"/>
      <c r="EE16" s="41"/>
      <c r="EF16" s="41"/>
      <c r="EG16" s="41"/>
      <c r="EH16" s="41"/>
      <c r="EI16" s="41"/>
      <c r="EJ16" s="41"/>
      <c r="EK16" s="41"/>
    </row>
    <row r="17" spans="1:141" s="42" customFormat="1" ht="21" x14ac:dyDescent="0.25">
      <c r="A17" s="7"/>
      <c r="B17" s="36" t="s">
        <v>39</v>
      </c>
      <c r="C17" s="57" t="s">
        <v>62</v>
      </c>
      <c r="D17" s="37">
        <v>1</v>
      </c>
      <c r="E17" s="38">
        <v>46125</v>
      </c>
      <c r="F17" s="39">
        <v>46128</v>
      </c>
      <c r="G17" s="40"/>
      <c r="H17" s="40">
        <f t="shared" si="8"/>
        <v>4</v>
      </c>
      <c r="I17" s="41"/>
      <c r="J17" s="41"/>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c r="BM17" s="41"/>
      <c r="BN17" s="41"/>
      <c r="BO17" s="41"/>
      <c r="BP17" s="41"/>
      <c r="BQ17" s="41"/>
      <c r="BR17" s="41"/>
      <c r="BS17" s="41"/>
      <c r="BT17" s="41"/>
      <c r="BU17" s="41"/>
      <c r="BV17" s="41"/>
      <c r="BW17" s="41"/>
      <c r="BX17" s="41"/>
      <c r="BY17" s="41"/>
      <c r="BZ17" s="41"/>
      <c r="CA17" s="41"/>
      <c r="CB17" s="41"/>
      <c r="CC17" s="41"/>
      <c r="CD17" s="41"/>
      <c r="CE17" s="41"/>
      <c r="CF17" s="41"/>
      <c r="CG17" s="41"/>
      <c r="CH17" s="41"/>
      <c r="CI17" s="41"/>
      <c r="CJ17" s="41"/>
      <c r="CK17" s="41"/>
      <c r="CL17" s="41"/>
      <c r="CM17" s="41"/>
      <c r="CN17" s="41"/>
      <c r="CO17" s="41"/>
      <c r="CP17" s="41"/>
      <c r="CQ17" s="41"/>
      <c r="CR17" s="41"/>
      <c r="CS17" s="41"/>
      <c r="CT17" s="41"/>
      <c r="CU17" s="41"/>
      <c r="CV17" s="41"/>
      <c r="CW17" s="41"/>
      <c r="CX17" s="41"/>
      <c r="CY17" s="41"/>
      <c r="CZ17" s="41"/>
      <c r="DA17" s="41"/>
      <c r="DB17" s="41"/>
      <c r="DC17" s="41"/>
      <c r="DD17" s="41"/>
      <c r="DE17" s="41"/>
      <c r="DF17" s="41"/>
      <c r="DG17" s="41"/>
      <c r="DH17" s="41"/>
      <c r="DI17" s="41"/>
      <c r="DJ17" s="41"/>
      <c r="DK17" s="41"/>
      <c r="DL17" s="41"/>
      <c r="DM17" s="41"/>
      <c r="DN17" s="41"/>
      <c r="DO17" s="41"/>
      <c r="DP17" s="41"/>
      <c r="DQ17" s="41"/>
      <c r="DR17" s="41"/>
      <c r="DS17" s="41"/>
      <c r="DT17" s="41"/>
      <c r="DU17" s="41"/>
      <c r="DV17" s="41"/>
      <c r="DW17" s="41"/>
      <c r="DX17" s="41"/>
      <c r="DY17" s="41"/>
      <c r="DZ17" s="41"/>
      <c r="EA17" s="41"/>
      <c r="EB17" s="41"/>
      <c r="EC17" s="41"/>
      <c r="ED17" s="41"/>
      <c r="EE17" s="41"/>
      <c r="EF17" s="41"/>
      <c r="EG17" s="41"/>
      <c r="EH17" s="41"/>
      <c r="EI17" s="41"/>
      <c r="EJ17" s="41"/>
      <c r="EK17" s="41"/>
    </row>
    <row r="18" spans="1:141" s="42" customFormat="1" ht="21" x14ac:dyDescent="0.25">
      <c r="A18" s="7"/>
      <c r="B18" s="36" t="s">
        <v>40</v>
      </c>
      <c r="C18" s="57" t="s">
        <v>60</v>
      </c>
      <c r="D18" s="37">
        <v>1</v>
      </c>
      <c r="E18" s="38">
        <v>46125</v>
      </c>
      <c r="F18" s="39">
        <v>46128</v>
      </c>
      <c r="G18" s="40"/>
      <c r="H18" s="40">
        <f t="shared" si="8"/>
        <v>4</v>
      </c>
      <c r="I18" s="41"/>
      <c r="J18" s="41"/>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c r="AW18" s="41"/>
      <c r="AX18" s="41"/>
      <c r="AY18" s="41"/>
      <c r="AZ18" s="41"/>
      <c r="BA18" s="41"/>
      <c r="BB18" s="41"/>
      <c r="BC18" s="41"/>
      <c r="BD18" s="41"/>
      <c r="BE18" s="41"/>
      <c r="BF18" s="41"/>
      <c r="BG18" s="41"/>
      <c r="BH18" s="41"/>
      <c r="BI18" s="41"/>
      <c r="BJ18" s="41"/>
      <c r="BK18" s="41"/>
      <c r="BL18" s="41"/>
      <c r="BM18" s="41"/>
      <c r="BN18" s="41"/>
      <c r="BO18" s="41"/>
      <c r="BP18" s="41"/>
      <c r="BQ18" s="41"/>
      <c r="BR18" s="41"/>
      <c r="BS18" s="41"/>
      <c r="BT18" s="41"/>
      <c r="BU18" s="41"/>
      <c r="BV18" s="41"/>
      <c r="BW18" s="41"/>
      <c r="BX18" s="41"/>
      <c r="BY18" s="41"/>
      <c r="BZ18" s="41"/>
      <c r="CA18" s="41"/>
      <c r="CB18" s="41"/>
      <c r="CC18" s="41"/>
      <c r="CD18" s="41"/>
      <c r="CE18" s="41"/>
      <c r="CF18" s="41"/>
      <c r="CG18" s="41"/>
      <c r="CH18" s="41"/>
      <c r="CI18" s="41"/>
      <c r="CJ18" s="41"/>
      <c r="CK18" s="41"/>
      <c r="CL18" s="41"/>
      <c r="CM18" s="41"/>
      <c r="CN18" s="41"/>
      <c r="CO18" s="41"/>
      <c r="CP18" s="41"/>
      <c r="CQ18" s="41"/>
      <c r="CR18" s="41"/>
      <c r="CS18" s="41"/>
      <c r="CT18" s="41"/>
      <c r="CU18" s="41"/>
      <c r="CV18" s="41"/>
      <c r="CW18" s="41"/>
      <c r="CX18" s="41"/>
      <c r="CY18" s="41"/>
      <c r="CZ18" s="41"/>
      <c r="DA18" s="41"/>
      <c r="DB18" s="41"/>
      <c r="DC18" s="41"/>
      <c r="DD18" s="41"/>
      <c r="DE18" s="41"/>
      <c r="DF18" s="41"/>
      <c r="DG18" s="41"/>
      <c r="DH18" s="41"/>
      <c r="DI18" s="41"/>
      <c r="DJ18" s="41"/>
      <c r="DK18" s="41"/>
      <c r="DL18" s="41"/>
      <c r="DM18" s="41"/>
      <c r="DN18" s="41"/>
      <c r="DO18" s="41"/>
      <c r="DP18" s="41"/>
      <c r="DQ18" s="41"/>
      <c r="DR18" s="41"/>
      <c r="DS18" s="41"/>
      <c r="DT18" s="41"/>
      <c r="DU18" s="41"/>
      <c r="DV18" s="41"/>
      <c r="DW18" s="41"/>
      <c r="DX18" s="41"/>
      <c r="DY18" s="41"/>
      <c r="DZ18" s="41"/>
      <c r="EA18" s="41"/>
      <c r="EB18" s="41"/>
      <c r="EC18" s="41"/>
      <c r="ED18" s="41"/>
      <c r="EE18" s="41"/>
      <c r="EF18" s="41"/>
      <c r="EG18" s="41"/>
      <c r="EH18" s="41"/>
      <c r="EI18" s="41"/>
      <c r="EJ18" s="41"/>
      <c r="EK18" s="41"/>
    </row>
    <row r="19" spans="1:141" s="42" customFormat="1" ht="21" x14ac:dyDescent="0.25">
      <c r="A19" s="7"/>
      <c r="B19" s="36" t="s">
        <v>41</v>
      </c>
      <c r="C19" s="57" t="s">
        <v>25</v>
      </c>
      <c r="D19" s="37">
        <v>1</v>
      </c>
      <c r="E19" s="38">
        <v>46125</v>
      </c>
      <c r="F19" s="39">
        <v>46128</v>
      </c>
      <c r="G19" s="40"/>
      <c r="H19" s="40"/>
      <c r="I19" s="41"/>
      <c r="J19" s="41"/>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c r="AW19" s="41"/>
      <c r="AX19" s="41"/>
      <c r="AY19" s="41"/>
      <c r="AZ19" s="41"/>
      <c r="BA19" s="41"/>
      <c r="BB19" s="41"/>
      <c r="BC19" s="41"/>
      <c r="BD19" s="41"/>
      <c r="BE19" s="41"/>
      <c r="BF19" s="41"/>
      <c r="BG19" s="41"/>
      <c r="BH19" s="41"/>
      <c r="BI19" s="41"/>
      <c r="BJ19" s="41"/>
      <c r="BK19" s="41"/>
      <c r="BL19" s="41"/>
      <c r="BM19" s="41"/>
      <c r="BN19" s="41"/>
      <c r="BO19" s="41"/>
      <c r="BP19" s="41"/>
      <c r="BQ19" s="41"/>
      <c r="BR19" s="41"/>
      <c r="BS19" s="41"/>
      <c r="BT19" s="41"/>
      <c r="BU19" s="41"/>
      <c r="BV19" s="41"/>
      <c r="BW19" s="41"/>
      <c r="BX19" s="41"/>
      <c r="BY19" s="41"/>
      <c r="BZ19" s="41"/>
      <c r="CA19" s="41"/>
      <c r="CB19" s="41"/>
      <c r="CC19" s="41"/>
      <c r="CD19" s="41"/>
      <c r="CE19" s="41"/>
      <c r="CF19" s="41"/>
      <c r="CG19" s="41"/>
      <c r="CH19" s="41"/>
      <c r="CI19" s="41"/>
      <c r="CJ19" s="41"/>
      <c r="CK19" s="41"/>
      <c r="CL19" s="41"/>
      <c r="CM19" s="41"/>
      <c r="CN19" s="41"/>
      <c r="CO19" s="41"/>
      <c r="CP19" s="41"/>
      <c r="CQ19" s="41"/>
      <c r="CR19" s="41"/>
      <c r="CS19" s="41"/>
      <c r="CT19" s="41"/>
      <c r="CU19" s="41"/>
      <c r="CV19" s="41"/>
      <c r="CW19" s="41"/>
      <c r="CX19" s="41"/>
      <c r="CY19" s="41"/>
      <c r="CZ19" s="41"/>
      <c r="DA19" s="41"/>
      <c r="DB19" s="41"/>
      <c r="DC19" s="41"/>
      <c r="DD19" s="41"/>
      <c r="DE19" s="41"/>
      <c r="DF19" s="41"/>
      <c r="DG19" s="41"/>
      <c r="DH19" s="41"/>
      <c r="DI19" s="41"/>
      <c r="DJ19" s="41"/>
      <c r="DK19" s="41"/>
      <c r="DL19" s="41"/>
      <c r="DM19" s="41"/>
      <c r="DN19" s="41"/>
      <c r="DO19" s="41"/>
      <c r="DP19" s="41"/>
      <c r="DQ19" s="41"/>
      <c r="DR19" s="41"/>
      <c r="DS19" s="41"/>
      <c r="DT19" s="41"/>
      <c r="DU19" s="41"/>
      <c r="DV19" s="41"/>
      <c r="DW19" s="41"/>
      <c r="DX19" s="41"/>
      <c r="DY19" s="41"/>
      <c r="DZ19" s="41"/>
      <c r="EA19" s="41"/>
      <c r="EB19" s="41"/>
      <c r="EC19" s="41"/>
      <c r="ED19" s="41"/>
      <c r="EE19" s="41"/>
      <c r="EF19" s="41"/>
      <c r="EG19" s="41"/>
      <c r="EH19" s="41"/>
      <c r="EI19" s="41"/>
      <c r="EJ19" s="41"/>
      <c r="EK19" s="41"/>
    </row>
    <row r="20" spans="1:141" s="42" customFormat="1" ht="21" x14ac:dyDescent="0.25">
      <c r="A20" s="7"/>
      <c r="B20" s="36"/>
      <c r="C20" s="57"/>
      <c r="D20" s="37"/>
      <c r="E20" s="38"/>
      <c r="F20" s="39"/>
      <c r="G20" s="40"/>
      <c r="H20" s="40"/>
      <c r="I20" s="41"/>
      <c r="J20" s="41"/>
      <c r="K20" s="41"/>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c r="AW20" s="41"/>
      <c r="AX20" s="41"/>
      <c r="AY20" s="41"/>
      <c r="AZ20" s="41"/>
      <c r="BA20" s="41"/>
      <c r="BB20" s="41"/>
      <c r="BC20" s="41"/>
      <c r="BD20" s="41"/>
      <c r="BE20" s="41"/>
      <c r="BF20" s="41"/>
      <c r="BG20" s="41"/>
      <c r="BH20" s="41"/>
      <c r="BI20" s="41"/>
      <c r="BJ20" s="41"/>
      <c r="BK20" s="41"/>
      <c r="BL20" s="41"/>
      <c r="BM20" s="41"/>
      <c r="BN20" s="41"/>
      <c r="BO20" s="41"/>
      <c r="BP20" s="41"/>
      <c r="BQ20" s="41"/>
      <c r="BR20" s="41"/>
      <c r="BS20" s="41"/>
      <c r="BT20" s="41"/>
      <c r="BU20" s="41"/>
      <c r="BV20" s="41"/>
      <c r="BW20" s="41"/>
      <c r="BX20" s="41"/>
      <c r="BY20" s="41"/>
      <c r="BZ20" s="41"/>
      <c r="CA20" s="41"/>
      <c r="CB20" s="41"/>
      <c r="CC20" s="41"/>
      <c r="CD20" s="41"/>
      <c r="CE20" s="41"/>
      <c r="CF20" s="41"/>
      <c r="CG20" s="41"/>
      <c r="CH20" s="41"/>
      <c r="CI20" s="41"/>
      <c r="CJ20" s="41"/>
      <c r="CK20" s="41"/>
      <c r="CL20" s="41"/>
      <c r="CM20" s="41"/>
      <c r="CN20" s="41"/>
      <c r="CO20" s="41"/>
      <c r="CP20" s="41"/>
      <c r="CQ20" s="41"/>
      <c r="CR20" s="41"/>
      <c r="CS20" s="41"/>
      <c r="CT20" s="41"/>
      <c r="CU20" s="41"/>
      <c r="CV20" s="41"/>
      <c r="CW20" s="41"/>
      <c r="CX20" s="41"/>
      <c r="CY20" s="41"/>
      <c r="CZ20" s="41"/>
      <c r="DA20" s="41"/>
      <c r="DB20" s="41"/>
      <c r="DC20" s="41"/>
      <c r="DD20" s="41"/>
      <c r="DE20" s="41"/>
      <c r="DF20" s="41"/>
      <c r="DG20" s="41"/>
      <c r="DH20" s="41"/>
      <c r="DI20" s="41"/>
      <c r="DJ20" s="41"/>
      <c r="DK20" s="41"/>
      <c r="DL20" s="41"/>
      <c r="DM20" s="41"/>
      <c r="DN20" s="41"/>
      <c r="DO20" s="41"/>
      <c r="DP20" s="41"/>
      <c r="DQ20" s="41"/>
      <c r="DR20" s="41"/>
      <c r="DS20" s="41"/>
      <c r="DT20" s="41"/>
      <c r="DU20" s="41"/>
      <c r="DV20" s="41"/>
      <c r="DW20" s="41"/>
      <c r="DX20" s="41"/>
      <c r="DY20" s="41"/>
      <c r="DZ20" s="41"/>
      <c r="EA20" s="41"/>
      <c r="EB20" s="41"/>
      <c r="EC20" s="41"/>
      <c r="ED20" s="41"/>
      <c r="EE20" s="41"/>
      <c r="EF20" s="41"/>
      <c r="EG20" s="41"/>
      <c r="EH20" s="41"/>
      <c r="EI20" s="41"/>
      <c r="EJ20" s="41"/>
      <c r="EK20" s="41"/>
    </row>
    <row r="21" spans="1:141" s="42" customFormat="1" ht="21" x14ac:dyDescent="0.25">
      <c r="A21" s="7"/>
      <c r="B21" s="62" t="s">
        <v>42</v>
      </c>
      <c r="C21" s="62"/>
      <c r="D21" s="62"/>
      <c r="E21" s="62"/>
      <c r="F21" s="62"/>
      <c r="G21" s="62"/>
      <c r="H21" s="40" t="str">
        <f t="shared" si="8"/>
        <v/>
      </c>
      <c r="I21" s="41"/>
      <c r="J21" s="41"/>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c r="AW21" s="41"/>
      <c r="AX21" s="41"/>
      <c r="AY21" s="41"/>
      <c r="AZ21" s="41"/>
      <c r="BA21" s="41"/>
      <c r="BB21" s="41"/>
      <c r="BC21" s="41"/>
      <c r="BD21" s="41"/>
      <c r="BE21" s="41"/>
      <c r="BF21" s="41"/>
      <c r="BG21" s="41"/>
      <c r="BH21" s="41"/>
      <c r="BI21" s="41"/>
      <c r="BJ21" s="41"/>
      <c r="BK21" s="41"/>
      <c r="BL21" s="41"/>
      <c r="BM21" s="41"/>
      <c r="BN21" s="41"/>
      <c r="BO21" s="41"/>
      <c r="BP21" s="41"/>
      <c r="BQ21" s="41"/>
      <c r="BR21" s="41"/>
      <c r="BS21" s="41"/>
      <c r="BT21" s="41"/>
      <c r="BU21" s="41"/>
      <c r="BV21" s="41"/>
      <c r="BW21" s="41"/>
      <c r="BX21" s="41"/>
      <c r="BY21" s="41"/>
      <c r="BZ21" s="41"/>
      <c r="CA21" s="41"/>
      <c r="CB21" s="41"/>
      <c r="CC21" s="41"/>
      <c r="CD21" s="41"/>
      <c r="CE21" s="41"/>
      <c r="CF21" s="41"/>
      <c r="CG21" s="41"/>
      <c r="CH21" s="41"/>
      <c r="CI21" s="41"/>
      <c r="CJ21" s="41"/>
      <c r="CK21" s="41"/>
      <c r="CL21" s="41"/>
      <c r="CM21" s="41"/>
      <c r="CN21" s="41"/>
      <c r="CO21" s="41"/>
      <c r="CP21" s="41"/>
      <c r="CQ21" s="41"/>
      <c r="CR21" s="41"/>
      <c r="CS21" s="41"/>
      <c r="CT21" s="41"/>
      <c r="CU21" s="41"/>
      <c r="CV21" s="41"/>
      <c r="CW21" s="41"/>
      <c r="CX21" s="41"/>
      <c r="CY21" s="41"/>
      <c r="CZ21" s="41"/>
      <c r="DA21" s="41"/>
      <c r="DB21" s="41"/>
      <c r="DC21" s="41"/>
      <c r="DD21" s="41"/>
      <c r="DE21" s="41"/>
      <c r="DF21" s="41"/>
      <c r="DG21" s="41"/>
      <c r="DH21" s="41"/>
      <c r="DI21" s="41"/>
      <c r="DJ21" s="41"/>
      <c r="DK21" s="41"/>
      <c r="DL21" s="41"/>
      <c r="DM21" s="41"/>
      <c r="DN21" s="41"/>
      <c r="DO21" s="41"/>
      <c r="DP21" s="41"/>
      <c r="DQ21" s="41"/>
      <c r="DR21" s="41"/>
      <c r="DS21" s="41"/>
      <c r="DT21" s="41"/>
      <c r="DU21" s="41"/>
      <c r="DV21" s="41"/>
      <c r="DW21" s="41"/>
      <c r="DX21" s="41"/>
      <c r="DY21" s="41"/>
      <c r="DZ21" s="41"/>
      <c r="EA21" s="41"/>
      <c r="EB21" s="41"/>
      <c r="EC21" s="41"/>
      <c r="ED21" s="41"/>
      <c r="EE21" s="41"/>
      <c r="EF21" s="41"/>
      <c r="EG21" s="41"/>
      <c r="EH21" s="41"/>
      <c r="EI21" s="41"/>
      <c r="EJ21" s="41"/>
      <c r="EK21" s="41"/>
    </row>
    <row r="22" spans="1:141" s="42" customFormat="1" ht="21" x14ac:dyDescent="0.25">
      <c r="A22" s="7"/>
      <c r="B22" s="36" t="s">
        <v>43</v>
      </c>
      <c r="C22" s="57" t="s">
        <v>60</v>
      </c>
      <c r="D22" s="37">
        <v>1</v>
      </c>
      <c r="E22" s="39">
        <v>46132</v>
      </c>
      <c r="F22" s="39">
        <v>46136</v>
      </c>
      <c r="G22" s="40"/>
      <c r="H22" s="40">
        <f t="shared" si="8"/>
        <v>5</v>
      </c>
      <c r="I22" s="41"/>
      <c r="J22" s="41"/>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c r="AW22" s="41"/>
      <c r="AX22" s="41"/>
      <c r="AY22" s="41"/>
      <c r="AZ22" s="41"/>
      <c r="BA22" s="41"/>
      <c r="BB22" s="41"/>
      <c r="BC22" s="41"/>
      <c r="BD22" s="41"/>
      <c r="BE22" s="41"/>
      <c r="BF22" s="41"/>
      <c r="BG22" s="41"/>
      <c r="BH22" s="41"/>
      <c r="BI22" s="41"/>
      <c r="BJ22" s="41"/>
      <c r="BK22" s="41"/>
      <c r="BL22" s="41"/>
      <c r="BM22" s="41"/>
      <c r="BN22" s="41"/>
      <c r="BO22" s="41"/>
      <c r="BP22" s="41"/>
      <c r="BQ22" s="41"/>
      <c r="BR22" s="41"/>
      <c r="BS22" s="41"/>
      <c r="BT22" s="41"/>
      <c r="BU22" s="41"/>
      <c r="BV22" s="41"/>
      <c r="BW22" s="41"/>
      <c r="BX22" s="41"/>
      <c r="BY22" s="41"/>
      <c r="BZ22" s="41"/>
      <c r="CA22" s="41"/>
      <c r="CB22" s="41"/>
      <c r="CC22" s="41"/>
      <c r="CD22" s="41"/>
      <c r="CE22" s="41"/>
      <c r="CF22" s="41"/>
      <c r="CG22" s="41"/>
      <c r="CH22" s="41"/>
      <c r="CI22" s="41"/>
      <c r="CJ22" s="41"/>
      <c r="CK22" s="41"/>
      <c r="CL22" s="41"/>
      <c r="CM22" s="41"/>
      <c r="CN22" s="41"/>
      <c r="CO22" s="41"/>
      <c r="CP22" s="41"/>
      <c r="CQ22" s="41"/>
      <c r="CR22" s="41"/>
      <c r="CS22" s="41"/>
      <c r="CT22" s="41"/>
      <c r="CU22" s="41"/>
      <c r="CV22" s="41"/>
      <c r="CW22" s="41"/>
      <c r="CX22" s="41"/>
      <c r="CY22" s="41"/>
      <c r="CZ22" s="41"/>
      <c r="DA22" s="41"/>
      <c r="DB22" s="41"/>
      <c r="DC22" s="41"/>
      <c r="DD22" s="41"/>
      <c r="DE22" s="41"/>
      <c r="DF22" s="41"/>
      <c r="DG22" s="41"/>
      <c r="DH22" s="41"/>
      <c r="DI22" s="41"/>
      <c r="DJ22" s="41"/>
      <c r="DK22" s="41"/>
      <c r="DL22" s="41"/>
      <c r="DM22" s="41"/>
      <c r="DN22" s="41"/>
      <c r="DO22" s="41"/>
      <c r="DP22" s="41"/>
      <c r="DQ22" s="41"/>
      <c r="DR22" s="41"/>
      <c r="DS22" s="41"/>
      <c r="DT22" s="41"/>
      <c r="DU22" s="41"/>
      <c r="DV22" s="41"/>
      <c r="DW22" s="41"/>
      <c r="DX22" s="41"/>
      <c r="DY22" s="41"/>
      <c r="DZ22" s="41"/>
      <c r="EA22" s="41"/>
      <c r="EB22" s="41"/>
      <c r="EC22" s="41"/>
      <c r="ED22" s="41"/>
      <c r="EE22" s="41"/>
      <c r="EF22" s="41"/>
      <c r="EG22" s="41"/>
      <c r="EH22" s="41"/>
      <c r="EI22" s="41"/>
      <c r="EJ22" s="41"/>
      <c r="EK22" s="41"/>
    </row>
    <row r="23" spans="1:141" s="42" customFormat="1" ht="21" x14ac:dyDescent="0.25">
      <c r="A23" s="7"/>
      <c r="B23" s="36" t="s">
        <v>44</v>
      </c>
      <c r="C23" s="57" t="s">
        <v>62</v>
      </c>
      <c r="D23" s="37">
        <v>1</v>
      </c>
      <c r="E23" s="39">
        <v>46132</v>
      </c>
      <c r="F23" s="39">
        <v>46136</v>
      </c>
      <c r="G23" s="40"/>
      <c r="H23" s="40">
        <f t="shared" si="8"/>
        <v>5</v>
      </c>
      <c r="I23" s="41"/>
      <c r="J23" s="41"/>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c r="AW23" s="41"/>
      <c r="AX23" s="41"/>
      <c r="AY23" s="41"/>
      <c r="AZ23" s="41"/>
      <c r="BA23" s="41"/>
      <c r="BB23" s="41"/>
      <c r="BC23" s="41"/>
      <c r="BD23" s="41"/>
      <c r="BE23" s="41"/>
      <c r="BF23" s="41"/>
      <c r="BG23" s="41"/>
      <c r="BH23" s="41"/>
      <c r="BI23" s="41"/>
      <c r="BJ23" s="41"/>
      <c r="BK23" s="41"/>
      <c r="BL23" s="41"/>
      <c r="BM23" s="41"/>
      <c r="BN23" s="41"/>
      <c r="BO23" s="41"/>
      <c r="BP23" s="41"/>
      <c r="BQ23" s="41"/>
      <c r="BR23" s="41"/>
      <c r="BS23" s="41"/>
      <c r="BT23" s="41"/>
      <c r="BU23" s="41"/>
      <c r="BV23" s="41"/>
      <c r="BW23" s="41"/>
      <c r="BX23" s="41"/>
      <c r="BY23" s="41"/>
      <c r="BZ23" s="41"/>
      <c r="CA23" s="41"/>
      <c r="CB23" s="41"/>
      <c r="CC23" s="41"/>
      <c r="CD23" s="41"/>
      <c r="CE23" s="41"/>
      <c r="CF23" s="41"/>
      <c r="CG23" s="41"/>
      <c r="CH23" s="41"/>
      <c r="CI23" s="41"/>
      <c r="CJ23" s="41"/>
      <c r="CK23" s="41"/>
      <c r="CL23" s="41"/>
      <c r="CM23" s="41"/>
      <c r="CN23" s="41"/>
      <c r="CO23" s="41"/>
      <c r="CP23" s="41"/>
      <c r="CQ23" s="41"/>
      <c r="CR23" s="41"/>
      <c r="CS23" s="41"/>
      <c r="CT23" s="41"/>
      <c r="CU23" s="41"/>
      <c r="CV23" s="41"/>
      <c r="CW23" s="41"/>
      <c r="CX23" s="41"/>
      <c r="CY23" s="41"/>
      <c r="CZ23" s="41"/>
      <c r="DA23" s="41"/>
      <c r="DB23" s="41"/>
      <c r="DC23" s="41"/>
      <c r="DD23" s="41"/>
      <c r="DE23" s="41"/>
      <c r="DF23" s="41"/>
      <c r="DG23" s="41"/>
      <c r="DH23" s="41"/>
      <c r="DI23" s="41"/>
      <c r="DJ23" s="41"/>
      <c r="DK23" s="41"/>
      <c r="DL23" s="41"/>
      <c r="DM23" s="41"/>
      <c r="DN23" s="41"/>
      <c r="DO23" s="41"/>
      <c r="DP23" s="41"/>
      <c r="DQ23" s="41"/>
      <c r="DR23" s="41"/>
      <c r="DS23" s="41"/>
      <c r="DT23" s="41"/>
      <c r="DU23" s="41"/>
      <c r="DV23" s="41"/>
      <c r="DW23" s="41"/>
      <c r="DX23" s="41"/>
      <c r="DY23" s="41"/>
      <c r="DZ23" s="41"/>
      <c r="EA23" s="41"/>
      <c r="EB23" s="41"/>
      <c r="EC23" s="41"/>
      <c r="ED23" s="41"/>
      <c r="EE23" s="41"/>
      <c r="EF23" s="41"/>
      <c r="EG23" s="41"/>
      <c r="EH23" s="41"/>
      <c r="EI23" s="41"/>
      <c r="EJ23" s="41"/>
      <c r="EK23" s="41"/>
    </row>
    <row r="24" spans="1:141" s="42" customFormat="1" ht="21" x14ac:dyDescent="0.25">
      <c r="A24" s="7"/>
      <c r="B24" s="36" t="s">
        <v>45</v>
      </c>
      <c r="C24" s="57" t="s">
        <v>61</v>
      </c>
      <c r="D24" s="37">
        <v>1</v>
      </c>
      <c r="E24" s="39">
        <v>46132</v>
      </c>
      <c r="F24" s="39">
        <v>46136</v>
      </c>
      <c r="G24" s="40"/>
      <c r="H24" s="40">
        <f t="shared" si="8"/>
        <v>5</v>
      </c>
      <c r="I24" s="41"/>
      <c r="J24" s="41"/>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c r="AW24" s="41"/>
      <c r="AX24" s="41"/>
      <c r="AY24" s="41"/>
      <c r="AZ24" s="41"/>
      <c r="BA24" s="41"/>
      <c r="BB24" s="41"/>
      <c r="BC24" s="41"/>
      <c r="BD24" s="41"/>
      <c r="BE24" s="41"/>
      <c r="BF24" s="41"/>
      <c r="BG24" s="41"/>
      <c r="BH24" s="41"/>
      <c r="BI24" s="41"/>
      <c r="BJ24" s="41"/>
      <c r="BK24" s="41"/>
      <c r="BL24" s="41"/>
      <c r="BM24" s="41"/>
      <c r="BN24" s="41"/>
      <c r="BO24" s="41"/>
      <c r="BP24" s="41"/>
      <c r="BQ24" s="41"/>
      <c r="BR24" s="41"/>
      <c r="BS24" s="41"/>
      <c r="BT24" s="41"/>
      <c r="BU24" s="41"/>
      <c r="BV24" s="41"/>
      <c r="BW24" s="41"/>
      <c r="BX24" s="41"/>
      <c r="BY24" s="41"/>
      <c r="BZ24" s="41"/>
      <c r="CA24" s="41"/>
      <c r="CB24" s="41"/>
      <c r="CC24" s="41"/>
      <c r="CD24" s="41"/>
      <c r="CE24" s="41"/>
      <c r="CF24" s="41"/>
      <c r="CG24" s="41"/>
      <c r="CH24" s="41"/>
      <c r="CI24" s="41"/>
      <c r="CJ24" s="41"/>
      <c r="CK24" s="41"/>
      <c r="CL24" s="41"/>
      <c r="CM24" s="41"/>
      <c r="CN24" s="41"/>
      <c r="CO24" s="41"/>
      <c r="CP24" s="41"/>
      <c r="CQ24" s="41"/>
      <c r="CR24" s="41"/>
      <c r="CS24" s="41"/>
      <c r="CT24" s="41"/>
      <c r="CU24" s="41"/>
      <c r="CV24" s="41"/>
      <c r="CW24" s="41"/>
      <c r="CX24" s="41"/>
      <c r="CY24" s="41"/>
      <c r="CZ24" s="41"/>
      <c r="DA24" s="41"/>
      <c r="DB24" s="41"/>
      <c r="DC24" s="41"/>
      <c r="DD24" s="41"/>
      <c r="DE24" s="41"/>
      <c r="DF24" s="41"/>
      <c r="DG24" s="41"/>
      <c r="DH24" s="41"/>
      <c r="DI24" s="41"/>
      <c r="DJ24" s="41"/>
      <c r="DK24" s="41"/>
      <c r="DL24" s="41"/>
      <c r="DM24" s="41"/>
      <c r="DN24" s="41"/>
      <c r="DO24" s="41"/>
      <c r="DP24" s="41"/>
      <c r="DQ24" s="41"/>
      <c r="DR24" s="41"/>
      <c r="DS24" s="41"/>
      <c r="DT24" s="41"/>
      <c r="DU24" s="41"/>
      <c r="DV24" s="41"/>
      <c r="DW24" s="41"/>
      <c r="DX24" s="41"/>
      <c r="DY24" s="41"/>
      <c r="DZ24" s="41"/>
      <c r="EA24" s="41"/>
      <c r="EB24" s="41"/>
      <c r="EC24" s="41"/>
      <c r="ED24" s="41"/>
      <c r="EE24" s="41"/>
      <c r="EF24" s="41"/>
      <c r="EG24" s="41"/>
      <c r="EH24" s="41"/>
      <c r="EI24" s="41"/>
      <c r="EJ24" s="41"/>
      <c r="EK24" s="41"/>
    </row>
    <row r="25" spans="1:141" s="42" customFormat="1" ht="21" x14ac:dyDescent="0.25">
      <c r="A25" s="7"/>
      <c r="B25" s="36" t="s">
        <v>46</v>
      </c>
      <c r="C25" s="57" t="s">
        <v>26</v>
      </c>
      <c r="D25" s="37">
        <v>1</v>
      </c>
      <c r="E25" s="39">
        <v>46132</v>
      </c>
      <c r="F25" s="39">
        <v>46136</v>
      </c>
      <c r="G25" s="40"/>
      <c r="H25" s="40">
        <f t="shared" si="8"/>
        <v>5</v>
      </c>
      <c r="I25" s="41"/>
      <c r="J25" s="41"/>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c r="AW25" s="41"/>
      <c r="AX25" s="41"/>
      <c r="AY25" s="41"/>
      <c r="AZ25" s="41"/>
      <c r="BA25" s="41"/>
      <c r="BB25" s="41"/>
      <c r="BC25" s="41"/>
      <c r="BD25" s="41"/>
      <c r="BE25" s="41"/>
      <c r="BF25" s="41"/>
      <c r="BG25" s="41"/>
      <c r="BH25" s="41"/>
      <c r="BI25" s="41"/>
      <c r="BJ25" s="41"/>
      <c r="BK25" s="41"/>
      <c r="BL25" s="41"/>
      <c r="BM25" s="41"/>
      <c r="BN25" s="41"/>
      <c r="BO25" s="41"/>
      <c r="BP25" s="41"/>
      <c r="BQ25" s="41"/>
      <c r="BR25" s="41"/>
      <c r="BS25" s="41"/>
      <c r="BT25" s="41"/>
      <c r="BU25" s="41"/>
      <c r="BV25" s="41"/>
      <c r="BW25" s="41"/>
      <c r="BX25" s="41"/>
      <c r="BY25" s="41"/>
      <c r="BZ25" s="41"/>
      <c r="CA25" s="41"/>
      <c r="CB25" s="41"/>
      <c r="CC25" s="41"/>
      <c r="CD25" s="41"/>
      <c r="CE25" s="41"/>
      <c r="CF25" s="41"/>
      <c r="CG25" s="41"/>
      <c r="CH25" s="41"/>
      <c r="CI25" s="41"/>
      <c r="CJ25" s="41"/>
      <c r="CK25" s="41"/>
      <c r="CL25" s="41"/>
      <c r="CM25" s="41"/>
      <c r="CN25" s="41"/>
      <c r="CO25" s="41"/>
      <c r="CP25" s="41"/>
      <c r="CQ25" s="41"/>
      <c r="CR25" s="41"/>
      <c r="CS25" s="41"/>
      <c r="CT25" s="41"/>
      <c r="CU25" s="41"/>
      <c r="CV25" s="41"/>
      <c r="CW25" s="41"/>
      <c r="CX25" s="41"/>
      <c r="CY25" s="41"/>
      <c r="CZ25" s="41"/>
      <c r="DA25" s="41"/>
      <c r="DB25" s="41"/>
      <c r="DC25" s="41"/>
      <c r="DD25" s="41"/>
      <c r="DE25" s="41"/>
      <c r="DF25" s="41"/>
      <c r="DG25" s="41"/>
      <c r="DH25" s="41"/>
      <c r="DI25" s="41"/>
      <c r="DJ25" s="41"/>
      <c r="DK25" s="41"/>
      <c r="DL25" s="41"/>
      <c r="DM25" s="41"/>
      <c r="DN25" s="41"/>
      <c r="DO25" s="41"/>
      <c r="DP25" s="41"/>
      <c r="DQ25" s="41"/>
      <c r="DR25" s="41"/>
      <c r="DS25" s="41"/>
      <c r="DT25" s="41"/>
      <c r="DU25" s="41"/>
      <c r="DV25" s="41"/>
      <c r="DW25" s="41"/>
      <c r="DX25" s="41"/>
      <c r="DY25" s="41"/>
      <c r="DZ25" s="41"/>
      <c r="EA25" s="41"/>
      <c r="EB25" s="41"/>
      <c r="EC25" s="41"/>
      <c r="ED25" s="41"/>
      <c r="EE25" s="41"/>
      <c r="EF25" s="41"/>
      <c r="EG25" s="41"/>
      <c r="EH25" s="41"/>
      <c r="EI25" s="41"/>
      <c r="EJ25" s="41"/>
      <c r="EK25" s="41"/>
    </row>
    <row r="26" spans="1:141" s="42" customFormat="1" ht="21" x14ac:dyDescent="0.25">
      <c r="A26" s="7"/>
      <c r="B26" s="36" t="s">
        <v>63</v>
      </c>
      <c r="C26" s="57" t="s">
        <v>25</v>
      </c>
      <c r="D26" s="37">
        <v>1</v>
      </c>
      <c r="E26" s="39">
        <v>46132</v>
      </c>
      <c r="F26" s="39">
        <v>46136</v>
      </c>
      <c r="G26" s="40"/>
      <c r="H26" s="40">
        <f t="shared" si="8"/>
        <v>5</v>
      </c>
      <c r="I26" s="41"/>
      <c r="J26" s="41"/>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c r="AW26" s="41"/>
      <c r="AX26" s="41"/>
      <c r="AY26" s="41"/>
      <c r="AZ26" s="41"/>
      <c r="BA26" s="41"/>
      <c r="BB26" s="41"/>
      <c r="BC26" s="41"/>
      <c r="BD26" s="41"/>
      <c r="BE26" s="41"/>
      <c r="BF26" s="41"/>
      <c r="BG26" s="41"/>
      <c r="BH26" s="41"/>
      <c r="BI26" s="41"/>
      <c r="BJ26" s="41"/>
      <c r="BK26" s="41"/>
      <c r="BL26" s="41"/>
      <c r="BM26" s="41"/>
      <c r="BN26" s="41"/>
      <c r="BO26" s="41"/>
      <c r="BP26" s="41"/>
      <c r="BQ26" s="41"/>
      <c r="BR26" s="41"/>
      <c r="BS26" s="41"/>
      <c r="BT26" s="41"/>
      <c r="BU26" s="41"/>
      <c r="BV26" s="41"/>
      <c r="BW26" s="41"/>
      <c r="BX26" s="41"/>
      <c r="BY26" s="41"/>
      <c r="BZ26" s="41"/>
      <c r="CA26" s="41"/>
      <c r="CB26" s="41"/>
      <c r="CC26" s="41"/>
      <c r="CD26" s="41"/>
      <c r="CE26" s="41"/>
      <c r="CF26" s="41"/>
      <c r="CG26" s="41"/>
      <c r="CH26" s="41"/>
      <c r="CI26" s="41"/>
      <c r="CJ26" s="41"/>
      <c r="CK26" s="41"/>
      <c r="CL26" s="41"/>
      <c r="CM26" s="41"/>
      <c r="CN26" s="41"/>
      <c r="CO26" s="41"/>
      <c r="CP26" s="41"/>
      <c r="CQ26" s="41"/>
      <c r="CR26" s="41"/>
      <c r="CS26" s="41"/>
      <c r="CT26" s="41"/>
      <c r="CU26" s="41"/>
      <c r="CV26" s="41"/>
      <c r="CW26" s="41"/>
      <c r="CX26" s="41"/>
      <c r="CY26" s="41"/>
      <c r="CZ26" s="41"/>
      <c r="DA26" s="41"/>
      <c r="DB26" s="41"/>
      <c r="DC26" s="41"/>
      <c r="DD26" s="41"/>
      <c r="DE26" s="41"/>
      <c r="DF26" s="41"/>
      <c r="DG26" s="41"/>
      <c r="DH26" s="41"/>
      <c r="DI26" s="41"/>
      <c r="DJ26" s="41"/>
      <c r="DK26" s="41"/>
      <c r="DL26" s="41"/>
      <c r="DM26" s="41"/>
      <c r="DN26" s="41"/>
      <c r="DO26" s="41"/>
      <c r="DP26" s="41"/>
      <c r="DQ26" s="41"/>
      <c r="DR26" s="41"/>
      <c r="DS26" s="41"/>
      <c r="DT26" s="41"/>
      <c r="DU26" s="41"/>
      <c r="DV26" s="41"/>
      <c r="DW26" s="41"/>
      <c r="DX26" s="41"/>
      <c r="DY26" s="41"/>
      <c r="DZ26" s="41"/>
      <c r="EA26" s="41"/>
      <c r="EB26" s="41"/>
      <c r="EC26" s="41"/>
      <c r="ED26" s="41"/>
      <c r="EE26" s="41"/>
      <c r="EF26" s="41"/>
      <c r="EG26" s="41"/>
      <c r="EH26" s="41"/>
      <c r="EI26" s="41"/>
      <c r="EJ26" s="41"/>
      <c r="EK26" s="41"/>
    </row>
    <row r="27" spans="1:141" s="42" customFormat="1" ht="21" x14ac:dyDescent="0.25">
      <c r="A27" s="7"/>
      <c r="B27" s="36" t="s">
        <v>47</v>
      </c>
      <c r="C27" s="57" t="s">
        <v>25</v>
      </c>
      <c r="D27" s="37">
        <v>1</v>
      </c>
      <c r="E27" s="39">
        <v>46132</v>
      </c>
      <c r="F27" s="39">
        <v>46136</v>
      </c>
      <c r="G27" s="40"/>
      <c r="H27" s="40">
        <f t="shared" si="8"/>
        <v>5</v>
      </c>
      <c r="I27" s="41"/>
      <c r="J27" s="41"/>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c r="AW27" s="41"/>
      <c r="AX27" s="41"/>
      <c r="AY27" s="41"/>
      <c r="AZ27" s="41"/>
      <c r="BA27" s="41"/>
      <c r="BB27" s="41"/>
      <c r="BC27" s="41"/>
      <c r="BD27" s="41"/>
      <c r="BE27" s="41"/>
      <c r="BF27" s="41"/>
      <c r="BG27" s="41"/>
      <c r="BH27" s="41"/>
      <c r="BI27" s="41"/>
      <c r="BJ27" s="41"/>
      <c r="BK27" s="41"/>
      <c r="BL27" s="41"/>
      <c r="BM27" s="41"/>
      <c r="BN27" s="41"/>
      <c r="BO27" s="41"/>
      <c r="BP27" s="41"/>
      <c r="BQ27" s="41"/>
      <c r="BR27" s="41"/>
      <c r="BS27" s="41"/>
      <c r="BT27" s="41"/>
      <c r="BU27" s="41"/>
      <c r="BV27" s="41"/>
      <c r="BW27" s="41"/>
      <c r="BX27" s="41"/>
      <c r="BY27" s="41"/>
      <c r="BZ27" s="41"/>
      <c r="CA27" s="41"/>
      <c r="CB27" s="41"/>
      <c r="CC27" s="41"/>
      <c r="CD27" s="41"/>
      <c r="CE27" s="41"/>
      <c r="CF27" s="41"/>
      <c r="CG27" s="41"/>
      <c r="CH27" s="41"/>
      <c r="CI27" s="41"/>
      <c r="CJ27" s="41"/>
      <c r="CK27" s="41"/>
      <c r="CL27" s="41"/>
      <c r="CM27" s="41"/>
      <c r="CN27" s="41"/>
      <c r="CO27" s="41"/>
      <c r="CP27" s="41"/>
      <c r="CQ27" s="41"/>
      <c r="CR27" s="41"/>
      <c r="CS27" s="41"/>
      <c r="CT27" s="41"/>
      <c r="CU27" s="41"/>
      <c r="CV27" s="41"/>
      <c r="CW27" s="41"/>
      <c r="CX27" s="41"/>
      <c r="CY27" s="41"/>
      <c r="CZ27" s="41"/>
      <c r="DA27" s="41"/>
      <c r="DB27" s="41"/>
      <c r="DC27" s="41"/>
      <c r="DD27" s="41"/>
      <c r="DE27" s="41"/>
      <c r="DF27" s="41"/>
      <c r="DG27" s="41"/>
      <c r="DH27" s="41"/>
      <c r="DI27" s="41"/>
      <c r="DJ27" s="41"/>
      <c r="DK27" s="41"/>
      <c r="DL27" s="41"/>
      <c r="DM27" s="41"/>
      <c r="DN27" s="41"/>
      <c r="DO27" s="41"/>
      <c r="DP27" s="41"/>
      <c r="DQ27" s="41"/>
      <c r="DR27" s="41"/>
      <c r="DS27" s="41"/>
      <c r="DT27" s="41"/>
      <c r="DU27" s="41"/>
      <c r="DV27" s="41"/>
      <c r="DW27" s="41"/>
      <c r="DX27" s="41"/>
      <c r="DY27" s="41"/>
      <c r="DZ27" s="41"/>
      <c r="EA27" s="41"/>
      <c r="EB27" s="41"/>
      <c r="EC27" s="41"/>
      <c r="ED27" s="41"/>
      <c r="EE27" s="41"/>
      <c r="EF27" s="41"/>
      <c r="EG27" s="41"/>
      <c r="EH27" s="41"/>
      <c r="EI27" s="41"/>
      <c r="EJ27" s="41"/>
      <c r="EK27" s="41"/>
    </row>
    <row r="28" spans="1:141" s="42" customFormat="1" ht="21" x14ac:dyDescent="0.25">
      <c r="A28" s="7"/>
      <c r="B28" s="36"/>
      <c r="C28" s="57"/>
      <c r="D28" s="37"/>
      <c r="E28" s="38"/>
      <c r="F28" s="39"/>
      <c r="G28" s="40"/>
      <c r="H28" s="40" t="str">
        <f t="shared" ref="H28:H33" si="9">IF(OR(ISBLANK(task_start),ISBLANK(task_end)),"",task_end-task_start+1)</f>
        <v/>
      </c>
      <c r="I28" s="41"/>
      <c r="J28" s="41"/>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c r="AW28" s="41"/>
      <c r="AX28" s="41"/>
      <c r="AY28" s="41"/>
      <c r="AZ28" s="41"/>
      <c r="BA28" s="41"/>
      <c r="BB28" s="41"/>
      <c r="BC28" s="41"/>
      <c r="BD28" s="41"/>
      <c r="BE28" s="41"/>
      <c r="BF28" s="41"/>
      <c r="BG28" s="41"/>
      <c r="BH28" s="41"/>
      <c r="BI28" s="41"/>
      <c r="BJ28" s="41"/>
      <c r="BK28" s="41"/>
      <c r="BL28" s="41"/>
      <c r="BM28" s="41"/>
      <c r="BN28" s="41"/>
      <c r="BO28" s="41"/>
      <c r="BP28" s="41"/>
      <c r="BQ28" s="41"/>
      <c r="BR28" s="41"/>
      <c r="BS28" s="41"/>
      <c r="BT28" s="41"/>
      <c r="BU28" s="41"/>
      <c r="BV28" s="41"/>
      <c r="BW28" s="41"/>
      <c r="BX28" s="41"/>
      <c r="BY28" s="41"/>
      <c r="BZ28" s="41"/>
      <c r="CA28" s="41"/>
      <c r="CB28" s="41"/>
      <c r="CC28" s="41"/>
      <c r="CD28" s="41"/>
      <c r="CE28" s="41"/>
      <c r="CF28" s="41"/>
      <c r="CG28" s="41"/>
      <c r="CH28" s="41"/>
      <c r="CI28" s="41"/>
      <c r="CJ28" s="41"/>
      <c r="CK28" s="41"/>
      <c r="CL28" s="41"/>
      <c r="CM28" s="41"/>
      <c r="CN28" s="41"/>
      <c r="CO28" s="41"/>
      <c r="CP28" s="41"/>
      <c r="CQ28" s="41"/>
      <c r="CR28" s="41"/>
      <c r="CS28" s="41"/>
      <c r="CT28" s="41"/>
      <c r="CU28" s="41"/>
      <c r="CV28" s="41"/>
      <c r="CW28" s="41"/>
      <c r="CX28" s="41"/>
      <c r="CY28" s="41"/>
      <c r="CZ28" s="41"/>
      <c r="DA28" s="41"/>
      <c r="DB28" s="41"/>
      <c r="DC28" s="41"/>
      <c r="DD28" s="41"/>
      <c r="DE28" s="41"/>
      <c r="DF28" s="41"/>
      <c r="DG28" s="41"/>
      <c r="DH28" s="41"/>
      <c r="DI28" s="41"/>
      <c r="DJ28" s="41"/>
      <c r="DK28" s="41"/>
      <c r="DL28" s="41"/>
      <c r="DM28" s="41"/>
      <c r="DN28" s="41"/>
      <c r="DO28" s="41"/>
      <c r="DP28" s="41"/>
      <c r="DQ28" s="41"/>
      <c r="DR28" s="41"/>
      <c r="DS28" s="41"/>
      <c r="DT28" s="41"/>
      <c r="DU28" s="41"/>
      <c r="DV28" s="41"/>
      <c r="DW28" s="41"/>
      <c r="DX28" s="41"/>
      <c r="DY28" s="41"/>
      <c r="DZ28" s="41"/>
      <c r="EA28" s="41"/>
      <c r="EB28" s="41"/>
      <c r="EC28" s="41"/>
      <c r="ED28" s="41"/>
      <c r="EE28" s="41"/>
      <c r="EF28" s="41"/>
      <c r="EG28" s="41"/>
      <c r="EH28" s="41"/>
      <c r="EI28" s="41"/>
      <c r="EJ28" s="41"/>
      <c r="EK28" s="41"/>
    </row>
    <row r="29" spans="1:141" s="42" customFormat="1" ht="21" x14ac:dyDescent="0.25">
      <c r="A29" s="7"/>
      <c r="B29" s="62" t="s">
        <v>48</v>
      </c>
      <c r="C29" s="62"/>
      <c r="D29" s="62"/>
      <c r="E29" s="62"/>
      <c r="F29" s="62"/>
      <c r="G29" s="62"/>
      <c r="H29" s="40" t="str">
        <f t="shared" si="9"/>
        <v/>
      </c>
      <c r="I29" s="41"/>
      <c r="J29" s="41"/>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c r="AW29" s="41"/>
      <c r="AX29" s="41"/>
      <c r="AY29" s="41"/>
      <c r="AZ29" s="41"/>
      <c r="BA29" s="41"/>
      <c r="BB29" s="41"/>
      <c r="BC29" s="41"/>
      <c r="BD29" s="41"/>
      <c r="BE29" s="41"/>
      <c r="BF29" s="41"/>
      <c r="BG29" s="41"/>
      <c r="BH29" s="41"/>
      <c r="BI29" s="41"/>
      <c r="BJ29" s="41"/>
      <c r="BK29" s="41"/>
      <c r="BL29" s="41"/>
      <c r="BM29" s="41"/>
      <c r="BN29" s="41"/>
      <c r="BO29" s="41"/>
      <c r="BP29" s="41"/>
      <c r="BQ29" s="41"/>
      <c r="BR29" s="41"/>
      <c r="BS29" s="41"/>
      <c r="BT29" s="41"/>
      <c r="BU29" s="41"/>
      <c r="BV29" s="41"/>
      <c r="BW29" s="41"/>
      <c r="BX29" s="41"/>
      <c r="BY29" s="41"/>
      <c r="BZ29" s="41"/>
      <c r="CA29" s="41"/>
      <c r="CB29" s="41"/>
      <c r="CC29" s="41"/>
      <c r="CD29" s="41"/>
      <c r="CE29" s="41"/>
      <c r="CF29" s="41"/>
      <c r="CG29" s="41"/>
      <c r="CH29" s="41"/>
      <c r="CI29" s="41"/>
      <c r="CJ29" s="41"/>
      <c r="CK29" s="41"/>
      <c r="CL29" s="41"/>
      <c r="CM29" s="41"/>
      <c r="CN29" s="41"/>
      <c r="CO29" s="41"/>
      <c r="CP29" s="41"/>
      <c r="CQ29" s="41"/>
      <c r="CR29" s="41"/>
      <c r="CS29" s="41"/>
      <c r="CT29" s="41"/>
      <c r="CU29" s="41"/>
      <c r="CV29" s="41"/>
      <c r="CW29" s="41"/>
      <c r="CX29" s="41"/>
      <c r="CY29" s="41"/>
      <c r="CZ29" s="41"/>
      <c r="DA29" s="41"/>
      <c r="DB29" s="41"/>
      <c r="DC29" s="41"/>
      <c r="DD29" s="41"/>
      <c r="DE29" s="41"/>
      <c r="DF29" s="41"/>
      <c r="DG29" s="41"/>
      <c r="DH29" s="41"/>
      <c r="DI29" s="41"/>
      <c r="DJ29" s="41"/>
      <c r="DK29" s="41"/>
      <c r="DL29" s="41"/>
      <c r="DM29" s="41"/>
      <c r="DN29" s="41"/>
      <c r="DO29" s="41"/>
      <c r="DP29" s="41"/>
      <c r="DQ29" s="41"/>
      <c r="DR29" s="41"/>
      <c r="DS29" s="41"/>
      <c r="DT29" s="41"/>
      <c r="DU29" s="41"/>
      <c r="DV29" s="41"/>
      <c r="DW29" s="41"/>
      <c r="DX29" s="41"/>
      <c r="DY29" s="41"/>
      <c r="DZ29" s="41"/>
      <c r="EA29" s="41"/>
      <c r="EB29" s="41"/>
      <c r="EC29" s="41"/>
      <c r="ED29" s="41"/>
      <c r="EE29" s="41"/>
      <c r="EF29" s="41"/>
      <c r="EG29" s="41"/>
      <c r="EH29" s="41"/>
      <c r="EI29" s="41"/>
      <c r="EJ29" s="41"/>
      <c r="EK29" s="41"/>
    </row>
    <row r="30" spans="1:141" s="42" customFormat="1" ht="21" x14ac:dyDescent="0.25">
      <c r="A30" s="7"/>
      <c r="B30" s="36" t="s">
        <v>49</v>
      </c>
      <c r="C30" s="57" t="s">
        <v>61</v>
      </c>
      <c r="D30" s="37">
        <v>1</v>
      </c>
      <c r="E30" s="39">
        <v>46139</v>
      </c>
      <c r="F30" s="39">
        <v>46143</v>
      </c>
      <c r="G30" s="40"/>
      <c r="H30" s="40">
        <f t="shared" si="9"/>
        <v>5</v>
      </c>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c r="AW30" s="41"/>
      <c r="AX30" s="41"/>
      <c r="AY30" s="41"/>
      <c r="AZ30" s="41"/>
      <c r="BA30" s="41"/>
      <c r="BB30" s="41"/>
      <c r="BC30" s="41"/>
      <c r="BD30" s="41"/>
      <c r="BE30" s="41"/>
      <c r="BF30" s="41"/>
      <c r="BG30" s="41"/>
      <c r="BH30" s="41"/>
      <c r="BI30" s="41"/>
      <c r="BJ30" s="41"/>
      <c r="BK30" s="41"/>
      <c r="BL30" s="41"/>
      <c r="BM30" s="41"/>
      <c r="BN30" s="41"/>
      <c r="BO30" s="41"/>
      <c r="BP30" s="41"/>
      <c r="BQ30" s="41"/>
      <c r="BR30" s="41"/>
      <c r="BS30" s="41"/>
      <c r="BT30" s="41"/>
      <c r="BU30" s="41"/>
      <c r="BV30" s="41"/>
      <c r="BW30" s="41"/>
      <c r="BX30" s="41"/>
      <c r="BY30" s="41"/>
      <c r="BZ30" s="41"/>
      <c r="CA30" s="41"/>
      <c r="CB30" s="41"/>
      <c r="CC30" s="41"/>
      <c r="CD30" s="41"/>
      <c r="CE30" s="41"/>
      <c r="CF30" s="41"/>
      <c r="CG30" s="41"/>
      <c r="CH30" s="41"/>
      <c r="CI30" s="41"/>
      <c r="CJ30" s="41"/>
      <c r="CK30" s="41"/>
      <c r="CL30" s="41"/>
      <c r="CM30" s="41"/>
      <c r="CN30" s="41"/>
      <c r="CO30" s="41"/>
      <c r="CP30" s="41"/>
      <c r="CQ30" s="41"/>
      <c r="CR30" s="41"/>
      <c r="CS30" s="41"/>
      <c r="CT30" s="41"/>
      <c r="CU30" s="41"/>
      <c r="CV30" s="41"/>
      <c r="CW30" s="41"/>
      <c r="CX30" s="41"/>
      <c r="CY30" s="41"/>
      <c r="CZ30" s="41"/>
      <c r="DA30" s="41"/>
      <c r="DB30" s="41"/>
      <c r="DC30" s="41"/>
      <c r="DD30" s="41"/>
      <c r="DE30" s="41"/>
      <c r="DF30" s="41"/>
      <c r="DG30" s="41"/>
      <c r="DH30" s="41"/>
      <c r="DI30" s="41"/>
      <c r="DJ30" s="41"/>
      <c r="DK30" s="41"/>
      <c r="DL30" s="41"/>
      <c r="DM30" s="41"/>
      <c r="DN30" s="41"/>
      <c r="DO30" s="41"/>
      <c r="DP30" s="41"/>
      <c r="DQ30" s="41"/>
      <c r="DR30" s="41"/>
      <c r="DS30" s="41"/>
      <c r="DT30" s="41"/>
      <c r="DU30" s="41"/>
      <c r="DV30" s="41"/>
      <c r="DW30" s="41"/>
      <c r="DX30" s="41"/>
      <c r="DY30" s="41"/>
      <c r="DZ30" s="41"/>
      <c r="EA30" s="41"/>
      <c r="EB30" s="41"/>
      <c r="EC30" s="41"/>
      <c r="ED30" s="41"/>
      <c r="EE30" s="41"/>
      <c r="EF30" s="41"/>
      <c r="EG30" s="41"/>
      <c r="EH30" s="41"/>
      <c r="EI30" s="41"/>
      <c r="EJ30" s="41"/>
      <c r="EK30" s="41"/>
    </row>
    <row r="31" spans="1:141" s="42" customFormat="1" ht="30" x14ac:dyDescent="0.25">
      <c r="A31" s="7"/>
      <c r="B31" s="36" t="s">
        <v>50</v>
      </c>
      <c r="C31" s="57" t="s">
        <v>64</v>
      </c>
      <c r="D31" s="37">
        <v>1</v>
      </c>
      <c r="E31" s="39">
        <v>46139</v>
      </c>
      <c r="F31" s="39">
        <v>46143</v>
      </c>
      <c r="G31" s="40"/>
      <c r="H31" s="40">
        <f t="shared" si="9"/>
        <v>5</v>
      </c>
      <c r="I31" s="41"/>
      <c r="J31" s="41"/>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c r="AW31" s="41"/>
      <c r="AX31" s="41"/>
      <c r="AY31" s="41"/>
      <c r="AZ31" s="41"/>
      <c r="BA31" s="41"/>
      <c r="BB31" s="41"/>
      <c r="BC31" s="41"/>
      <c r="BD31" s="41"/>
      <c r="BE31" s="41"/>
      <c r="BF31" s="41"/>
      <c r="BG31" s="41"/>
      <c r="BH31" s="41"/>
      <c r="BI31" s="41"/>
      <c r="BJ31" s="41"/>
      <c r="BK31" s="41"/>
      <c r="BL31" s="41"/>
      <c r="BM31" s="41"/>
      <c r="BN31" s="41"/>
      <c r="BO31" s="41"/>
      <c r="BP31" s="41"/>
      <c r="BQ31" s="41"/>
      <c r="BR31" s="41"/>
      <c r="BS31" s="41"/>
      <c r="BT31" s="41"/>
      <c r="BU31" s="41"/>
      <c r="BV31" s="41"/>
      <c r="BW31" s="41"/>
      <c r="BX31" s="41"/>
      <c r="BY31" s="41"/>
      <c r="BZ31" s="41"/>
      <c r="CA31" s="41"/>
      <c r="CB31" s="41"/>
      <c r="CC31" s="41"/>
      <c r="CD31" s="41"/>
      <c r="CE31" s="41"/>
      <c r="CF31" s="41"/>
      <c r="CG31" s="41"/>
      <c r="CH31" s="41"/>
      <c r="CI31" s="41"/>
      <c r="CJ31" s="41"/>
      <c r="CK31" s="41"/>
      <c r="CL31" s="41"/>
      <c r="CM31" s="41"/>
      <c r="CN31" s="41"/>
      <c r="CO31" s="41"/>
      <c r="CP31" s="41"/>
      <c r="CQ31" s="41"/>
      <c r="CR31" s="41"/>
      <c r="CS31" s="41"/>
      <c r="CT31" s="41"/>
      <c r="CU31" s="41"/>
      <c r="CV31" s="41"/>
      <c r="CW31" s="41"/>
      <c r="CX31" s="41"/>
      <c r="CY31" s="41"/>
      <c r="CZ31" s="41"/>
      <c r="DA31" s="41"/>
      <c r="DB31" s="41"/>
      <c r="DC31" s="41"/>
      <c r="DD31" s="41"/>
      <c r="DE31" s="41"/>
      <c r="DF31" s="41"/>
      <c r="DG31" s="41"/>
      <c r="DH31" s="41"/>
      <c r="DI31" s="41"/>
      <c r="DJ31" s="41"/>
      <c r="DK31" s="41"/>
      <c r="DL31" s="41"/>
      <c r="DM31" s="41"/>
      <c r="DN31" s="41"/>
      <c r="DO31" s="41"/>
      <c r="DP31" s="41"/>
      <c r="DQ31" s="41"/>
      <c r="DR31" s="41"/>
      <c r="DS31" s="41"/>
      <c r="DT31" s="41"/>
      <c r="DU31" s="41"/>
      <c r="DV31" s="41"/>
      <c r="DW31" s="41"/>
      <c r="DX31" s="41"/>
      <c r="DY31" s="41"/>
      <c r="DZ31" s="41"/>
      <c r="EA31" s="41"/>
      <c r="EB31" s="41"/>
      <c r="EC31" s="41"/>
      <c r="ED31" s="41"/>
      <c r="EE31" s="41"/>
      <c r="EF31" s="41"/>
      <c r="EG31" s="41"/>
      <c r="EH31" s="41"/>
      <c r="EI31" s="41"/>
      <c r="EJ31" s="41"/>
      <c r="EK31" s="41"/>
    </row>
    <row r="32" spans="1:141" s="42" customFormat="1" ht="21" x14ac:dyDescent="0.25">
      <c r="A32" s="7"/>
      <c r="B32" s="36" t="s">
        <v>51</v>
      </c>
      <c r="C32" s="57" t="s">
        <v>25</v>
      </c>
      <c r="D32" s="37">
        <v>1</v>
      </c>
      <c r="E32" s="39">
        <v>46139</v>
      </c>
      <c r="F32" s="39">
        <v>46143</v>
      </c>
      <c r="G32" s="40"/>
      <c r="H32" s="40">
        <f t="shared" si="9"/>
        <v>5</v>
      </c>
      <c r="I32" s="41"/>
      <c r="J32" s="41"/>
      <c r="K32" s="41"/>
      <c r="L32" s="41"/>
      <c r="M32" s="41"/>
      <c r="N32" s="41"/>
      <c r="O32" s="41"/>
      <c r="P32" s="41"/>
      <c r="Q32" s="41"/>
      <c r="R32" s="41"/>
      <c r="S32" s="41"/>
      <c r="T32" s="41"/>
      <c r="U32" s="41"/>
      <c r="V32" s="41"/>
      <c r="W32" s="41"/>
      <c r="X32" s="41"/>
      <c r="Y32" s="41"/>
      <c r="Z32" s="41"/>
      <c r="AA32" s="41"/>
      <c r="AB32" s="41"/>
      <c r="AC32" s="41"/>
      <c r="AD32" s="41"/>
      <c r="AE32" s="41"/>
      <c r="AF32" s="41"/>
      <c r="AG32" s="41"/>
      <c r="AH32" s="41"/>
      <c r="AI32" s="41"/>
      <c r="AJ32" s="41"/>
      <c r="AK32" s="41"/>
      <c r="AL32" s="41"/>
      <c r="AM32" s="41"/>
      <c r="AN32" s="41"/>
      <c r="AO32" s="41"/>
      <c r="AP32" s="41"/>
      <c r="AQ32" s="41"/>
      <c r="AR32" s="41"/>
      <c r="AS32" s="41"/>
      <c r="AT32" s="41"/>
      <c r="AU32" s="41"/>
      <c r="AV32" s="41"/>
      <c r="AW32" s="41"/>
      <c r="AX32" s="41"/>
      <c r="AY32" s="41"/>
      <c r="AZ32" s="41"/>
      <c r="BA32" s="41"/>
      <c r="BB32" s="41"/>
      <c r="BC32" s="41"/>
      <c r="BD32" s="41"/>
      <c r="BE32" s="41"/>
      <c r="BF32" s="41"/>
      <c r="BG32" s="41"/>
      <c r="BH32" s="41"/>
      <c r="BI32" s="41"/>
      <c r="BJ32" s="41"/>
      <c r="BK32" s="41"/>
      <c r="BL32" s="41"/>
      <c r="BM32" s="41"/>
      <c r="BN32" s="41"/>
      <c r="BO32" s="41"/>
      <c r="BP32" s="41"/>
      <c r="BQ32" s="41"/>
      <c r="BR32" s="41"/>
      <c r="BS32" s="41"/>
      <c r="BT32" s="41"/>
      <c r="BU32" s="41"/>
      <c r="BV32" s="41"/>
      <c r="BW32" s="41"/>
      <c r="BX32" s="41"/>
      <c r="BY32" s="41"/>
      <c r="BZ32" s="41"/>
      <c r="CA32" s="41"/>
      <c r="CB32" s="41"/>
      <c r="CC32" s="41"/>
      <c r="CD32" s="41"/>
      <c r="CE32" s="41"/>
      <c r="CF32" s="41"/>
      <c r="CG32" s="41"/>
      <c r="CH32" s="41"/>
      <c r="CI32" s="41"/>
      <c r="CJ32" s="41"/>
      <c r="CK32" s="41"/>
      <c r="CL32" s="41"/>
      <c r="CM32" s="41"/>
      <c r="CN32" s="41"/>
      <c r="CO32" s="41"/>
      <c r="CP32" s="41"/>
      <c r="CQ32" s="41"/>
      <c r="CR32" s="41"/>
      <c r="CS32" s="41"/>
      <c r="CT32" s="41"/>
      <c r="CU32" s="41"/>
      <c r="CV32" s="41"/>
      <c r="CW32" s="41"/>
      <c r="CX32" s="41"/>
      <c r="CY32" s="41"/>
      <c r="CZ32" s="41"/>
      <c r="DA32" s="41"/>
      <c r="DB32" s="41"/>
      <c r="DC32" s="41"/>
      <c r="DD32" s="41"/>
      <c r="DE32" s="41"/>
      <c r="DF32" s="41"/>
      <c r="DG32" s="41"/>
      <c r="DH32" s="41"/>
      <c r="DI32" s="41"/>
      <c r="DJ32" s="41"/>
      <c r="DK32" s="41"/>
      <c r="DL32" s="41"/>
      <c r="DM32" s="41"/>
      <c r="DN32" s="41"/>
      <c r="DO32" s="41"/>
      <c r="DP32" s="41"/>
      <c r="DQ32" s="41"/>
      <c r="DR32" s="41"/>
      <c r="DS32" s="41"/>
      <c r="DT32" s="41"/>
      <c r="DU32" s="41"/>
      <c r="DV32" s="41"/>
      <c r="DW32" s="41"/>
      <c r="DX32" s="41"/>
      <c r="DY32" s="41"/>
      <c r="DZ32" s="41"/>
      <c r="EA32" s="41"/>
      <c r="EB32" s="41"/>
      <c r="EC32" s="41"/>
      <c r="ED32" s="41"/>
      <c r="EE32" s="41"/>
      <c r="EF32" s="41"/>
      <c r="EG32" s="41"/>
      <c r="EH32" s="41"/>
      <c r="EI32" s="41"/>
      <c r="EJ32" s="41"/>
      <c r="EK32" s="41"/>
    </row>
    <row r="33" spans="1:141" s="42" customFormat="1" ht="21" x14ac:dyDescent="0.25">
      <c r="A33" s="7"/>
      <c r="B33" s="36" t="s">
        <v>52</v>
      </c>
      <c r="C33" s="57" t="s">
        <v>25</v>
      </c>
      <c r="D33" s="37">
        <v>1</v>
      </c>
      <c r="E33" s="39">
        <v>46139</v>
      </c>
      <c r="F33" s="39">
        <v>46143</v>
      </c>
      <c r="G33" s="40"/>
      <c r="H33" s="40">
        <f t="shared" si="9"/>
        <v>5</v>
      </c>
      <c r="I33" s="41"/>
      <c r="J33" s="41"/>
      <c r="K33" s="41"/>
      <c r="L33" s="41"/>
      <c r="M33" s="41"/>
      <c r="N33" s="41"/>
      <c r="O33" s="41"/>
      <c r="P33" s="41"/>
      <c r="Q33" s="41"/>
      <c r="R33" s="41"/>
      <c r="S33" s="41"/>
      <c r="T33" s="41"/>
      <c r="U33" s="41"/>
      <c r="V33" s="41"/>
      <c r="W33" s="41"/>
      <c r="X33" s="41"/>
      <c r="Y33" s="41"/>
      <c r="Z33" s="41"/>
      <c r="AA33" s="41"/>
      <c r="AB33" s="41"/>
      <c r="AC33" s="41"/>
      <c r="AD33" s="41"/>
      <c r="AE33" s="41"/>
      <c r="AF33" s="41"/>
      <c r="AG33" s="41"/>
      <c r="AH33" s="41"/>
      <c r="AI33" s="41"/>
      <c r="AJ33" s="41"/>
      <c r="AK33" s="41"/>
      <c r="AL33" s="41"/>
      <c r="AM33" s="41"/>
      <c r="AN33" s="41"/>
      <c r="AO33" s="41"/>
      <c r="AP33" s="41"/>
      <c r="AQ33" s="41"/>
      <c r="AR33" s="41"/>
      <c r="AS33" s="41"/>
      <c r="AT33" s="41"/>
      <c r="AU33" s="41"/>
      <c r="AV33" s="41"/>
      <c r="AW33" s="41"/>
      <c r="AX33" s="41"/>
      <c r="AY33" s="41"/>
      <c r="AZ33" s="41"/>
      <c r="BA33" s="41"/>
      <c r="BB33" s="41"/>
      <c r="BC33" s="41"/>
      <c r="BD33" s="41"/>
      <c r="BE33" s="41"/>
      <c r="BF33" s="41"/>
      <c r="BG33" s="41"/>
      <c r="BH33" s="41"/>
      <c r="BI33" s="41"/>
      <c r="BJ33" s="41"/>
      <c r="BK33" s="41"/>
      <c r="BL33" s="41"/>
      <c r="BM33" s="41"/>
      <c r="BN33" s="41"/>
      <c r="BO33" s="41"/>
      <c r="BP33" s="41"/>
      <c r="BQ33" s="41"/>
      <c r="BR33" s="41"/>
      <c r="BS33" s="41"/>
      <c r="BT33" s="41"/>
      <c r="BU33" s="41"/>
      <c r="BV33" s="41"/>
      <c r="BW33" s="41"/>
      <c r="BX33" s="41"/>
      <c r="BY33" s="41"/>
      <c r="BZ33" s="41"/>
      <c r="CA33" s="41"/>
      <c r="CB33" s="41"/>
      <c r="CC33" s="41"/>
      <c r="CD33" s="41"/>
      <c r="CE33" s="41"/>
      <c r="CF33" s="41"/>
      <c r="CG33" s="41"/>
      <c r="CH33" s="41"/>
      <c r="CI33" s="41"/>
      <c r="CJ33" s="41"/>
      <c r="CK33" s="41"/>
      <c r="CL33" s="41"/>
      <c r="CM33" s="41"/>
      <c r="CN33" s="41"/>
      <c r="CO33" s="41"/>
      <c r="CP33" s="41"/>
      <c r="CQ33" s="41"/>
      <c r="CR33" s="41"/>
      <c r="CS33" s="41"/>
      <c r="CT33" s="41"/>
      <c r="CU33" s="41"/>
      <c r="CV33" s="41"/>
      <c r="CW33" s="41"/>
      <c r="CX33" s="41"/>
      <c r="CY33" s="41"/>
      <c r="CZ33" s="41"/>
      <c r="DA33" s="41"/>
      <c r="DB33" s="41"/>
      <c r="DC33" s="41"/>
      <c r="DD33" s="41"/>
      <c r="DE33" s="41"/>
      <c r="DF33" s="41"/>
      <c r="DG33" s="41"/>
      <c r="DH33" s="41"/>
      <c r="DI33" s="41"/>
      <c r="DJ33" s="41"/>
      <c r="DK33" s="41"/>
      <c r="DL33" s="41"/>
      <c r="DM33" s="41"/>
      <c r="DN33" s="41"/>
      <c r="DO33" s="41"/>
      <c r="DP33" s="41"/>
      <c r="DQ33" s="41"/>
      <c r="DR33" s="41"/>
      <c r="DS33" s="41"/>
      <c r="DT33" s="41"/>
      <c r="DU33" s="41"/>
      <c r="DV33" s="41"/>
      <c r="DW33" s="41"/>
      <c r="DX33" s="41"/>
      <c r="DY33" s="41"/>
      <c r="DZ33" s="41"/>
      <c r="EA33" s="41"/>
      <c r="EB33" s="41"/>
      <c r="EC33" s="41"/>
      <c r="ED33" s="41"/>
      <c r="EE33" s="41"/>
      <c r="EF33" s="41"/>
      <c r="EG33" s="41"/>
      <c r="EH33" s="41"/>
      <c r="EI33" s="41"/>
      <c r="EJ33" s="41"/>
      <c r="EK33" s="41"/>
    </row>
    <row r="34" spans="1:141" s="42" customFormat="1" ht="21" x14ac:dyDescent="0.25">
      <c r="A34" s="7"/>
      <c r="B34" s="36"/>
      <c r="C34" s="57"/>
      <c r="D34" s="37"/>
      <c r="E34" s="38"/>
      <c r="F34" s="39"/>
      <c r="G34" s="40"/>
      <c r="H34" s="40" t="str">
        <f>IF(OR(ISBLANK(task_start),ISBLANK(task_end)),"",task_end-task_start+1)</f>
        <v/>
      </c>
      <c r="I34" s="41"/>
      <c r="J34" s="41"/>
      <c r="K34" s="41"/>
      <c r="L34" s="41"/>
      <c r="M34" s="41"/>
      <c r="N34" s="41"/>
      <c r="O34" s="41"/>
      <c r="P34" s="41"/>
      <c r="Q34" s="41"/>
      <c r="R34" s="41"/>
      <c r="S34" s="41"/>
      <c r="T34" s="41"/>
      <c r="U34" s="41"/>
      <c r="V34" s="41"/>
      <c r="W34" s="41"/>
      <c r="X34" s="41"/>
      <c r="Y34" s="41"/>
      <c r="Z34" s="41"/>
      <c r="AA34" s="41"/>
      <c r="AB34" s="41"/>
      <c r="AC34" s="41"/>
      <c r="AD34" s="41"/>
      <c r="AE34" s="41"/>
      <c r="AF34" s="41"/>
      <c r="AG34" s="41"/>
      <c r="AH34" s="41"/>
      <c r="AI34" s="41"/>
      <c r="AJ34" s="41"/>
      <c r="AK34" s="41"/>
      <c r="AL34" s="41"/>
      <c r="AM34" s="41"/>
      <c r="AN34" s="41"/>
      <c r="AO34" s="41"/>
      <c r="AP34" s="41"/>
      <c r="AQ34" s="41"/>
      <c r="AR34" s="41"/>
      <c r="AS34" s="41"/>
      <c r="AT34" s="41"/>
      <c r="AU34" s="41"/>
      <c r="AV34" s="41"/>
      <c r="AW34" s="41"/>
      <c r="AX34" s="41"/>
      <c r="AY34" s="41"/>
      <c r="AZ34" s="41"/>
      <c r="BA34" s="41"/>
      <c r="BB34" s="41"/>
      <c r="BC34" s="41"/>
      <c r="BD34" s="41"/>
      <c r="BE34" s="41"/>
      <c r="BF34" s="41"/>
      <c r="BG34" s="41"/>
      <c r="BH34" s="41"/>
      <c r="BI34" s="41"/>
      <c r="BJ34" s="41"/>
      <c r="BK34" s="41"/>
      <c r="BL34" s="41"/>
      <c r="BM34" s="41"/>
      <c r="BN34" s="41"/>
      <c r="BO34" s="41"/>
      <c r="BP34" s="41"/>
      <c r="BQ34" s="41"/>
      <c r="BR34" s="41"/>
      <c r="BS34" s="41"/>
      <c r="BT34" s="41"/>
      <c r="BU34" s="41"/>
      <c r="BV34" s="41"/>
      <c r="BW34" s="41"/>
      <c r="BX34" s="41"/>
      <c r="BY34" s="41"/>
      <c r="BZ34" s="41"/>
      <c r="CA34" s="41"/>
      <c r="CB34" s="41"/>
      <c r="CC34" s="41"/>
      <c r="CD34" s="41"/>
      <c r="CE34" s="41"/>
      <c r="CF34" s="41"/>
      <c r="CG34" s="41"/>
      <c r="CH34" s="41"/>
      <c r="CI34" s="41"/>
      <c r="CJ34" s="41"/>
      <c r="CK34" s="41"/>
      <c r="CL34" s="41"/>
      <c r="CM34" s="41"/>
      <c r="CN34" s="41"/>
      <c r="CO34" s="41"/>
      <c r="CP34" s="41"/>
      <c r="CQ34" s="41"/>
      <c r="CR34" s="41"/>
      <c r="CS34" s="41"/>
      <c r="CT34" s="41"/>
      <c r="CU34" s="41"/>
      <c r="CV34" s="41"/>
      <c r="CW34" s="41"/>
      <c r="CX34" s="41"/>
      <c r="CY34" s="41"/>
      <c r="CZ34" s="41"/>
      <c r="DA34" s="41"/>
      <c r="DB34" s="41"/>
      <c r="DC34" s="41"/>
      <c r="DD34" s="41"/>
      <c r="DE34" s="41"/>
      <c r="DF34" s="41"/>
      <c r="DG34" s="41"/>
      <c r="DH34" s="41"/>
      <c r="DI34" s="41"/>
      <c r="DJ34" s="41"/>
      <c r="DK34" s="41"/>
      <c r="DL34" s="41"/>
      <c r="DM34" s="41"/>
      <c r="DN34" s="41"/>
      <c r="DO34" s="41"/>
      <c r="DP34" s="41"/>
      <c r="DQ34" s="41"/>
      <c r="DR34" s="41"/>
      <c r="DS34" s="41"/>
      <c r="DT34" s="41"/>
      <c r="DU34" s="41"/>
      <c r="DV34" s="41"/>
      <c r="DW34" s="41"/>
      <c r="DX34" s="41"/>
      <c r="DY34" s="41"/>
      <c r="DZ34" s="41"/>
      <c r="EA34" s="41"/>
      <c r="EB34" s="41"/>
      <c r="EC34" s="41"/>
      <c r="ED34" s="41"/>
      <c r="EE34" s="41"/>
      <c r="EF34" s="41"/>
      <c r="EG34" s="41"/>
      <c r="EH34" s="41"/>
      <c r="EI34" s="41"/>
      <c r="EJ34" s="41"/>
      <c r="EK34" s="41"/>
    </row>
    <row r="35" spans="1:141" s="42" customFormat="1" ht="21" x14ac:dyDescent="0.25">
      <c r="A35" s="7"/>
      <c r="B35" s="49" t="s">
        <v>53</v>
      </c>
      <c r="C35" s="58"/>
      <c r="D35" s="50"/>
      <c r="E35" s="51"/>
      <c r="F35" s="52"/>
      <c r="G35" s="53"/>
      <c r="H35" s="40" t="str">
        <f>IF(OR(ISBLANK(task_start),ISBLANK(task_end)),"",task_end-task_start+1)</f>
        <v/>
      </c>
      <c r="I35" s="41"/>
      <c r="J35" s="41"/>
      <c r="K35" s="41"/>
      <c r="L35" s="41"/>
      <c r="M35" s="41"/>
      <c r="N35" s="41"/>
      <c r="O35" s="41"/>
      <c r="P35" s="41"/>
      <c r="Q35" s="41"/>
      <c r="R35" s="41"/>
      <c r="S35" s="41"/>
      <c r="T35" s="41"/>
      <c r="U35" s="41"/>
      <c r="V35" s="41"/>
      <c r="W35" s="41"/>
      <c r="X35" s="41"/>
      <c r="Y35" s="41"/>
      <c r="Z35" s="41"/>
      <c r="AA35" s="41"/>
      <c r="AB35" s="41"/>
      <c r="AC35" s="41"/>
      <c r="AD35" s="41"/>
      <c r="AE35" s="41"/>
      <c r="AF35" s="41"/>
      <c r="AG35" s="41"/>
      <c r="AH35" s="41"/>
      <c r="AI35" s="41"/>
      <c r="AJ35" s="41"/>
      <c r="AK35" s="41"/>
      <c r="AL35" s="41"/>
      <c r="AM35" s="41"/>
      <c r="AN35" s="41"/>
      <c r="AO35" s="41"/>
      <c r="AP35" s="41"/>
      <c r="AQ35" s="41"/>
      <c r="AR35" s="41"/>
      <c r="AS35" s="41"/>
      <c r="AT35" s="41"/>
      <c r="AU35" s="41"/>
      <c r="AV35" s="41"/>
      <c r="AW35" s="41"/>
      <c r="AX35" s="41"/>
      <c r="AY35" s="41"/>
      <c r="AZ35" s="41"/>
      <c r="BA35" s="41"/>
      <c r="BB35" s="41"/>
      <c r="BC35" s="41"/>
      <c r="BD35" s="41"/>
      <c r="BE35" s="41"/>
      <c r="BF35" s="41"/>
      <c r="BG35" s="41"/>
      <c r="BH35" s="41"/>
      <c r="BI35" s="41"/>
      <c r="BJ35" s="41"/>
      <c r="BK35" s="41"/>
      <c r="BL35" s="41"/>
      <c r="BM35" s="41"/>
      <c r="BN35" s="41"/>
      <c r="BO35" s="41"/>
      <c r="BP35" s="41"/>
      <c r="BQ35" s="41"/>
      <c r="BR35" s="41"/>
      <c r="BS35" s="41"/>
      <c r="BT35" s="41"/>
      <c r="BU35" s="41"/>
      <c r="BV35" s="41"/>
      <c r="BW35" s="41"/>
      <c r="BX35" s="41"/>
      <c r="BY35" s="41"/>
      <c r="BZ35" s="41"/>
      <c r="CA35" s="41"/>
      <c r="CB35" s="41"/>
      <c r="CC35" s="41"/>
      <c r="CD35" s="41"/>
      <c r="CE35" s="41"/>
      <c r="CF35" s="41"/>
      <c r="CG35" s="41"/>
      <c r="CH35" s="41"/>
      <c r="CI35" s="41"/>
      <c r="CJ35" s="41"/>
      <c r="CK35" s="41"/>
      <c r="CL35" s="41"/>
      <c r="CM35" s="41"/>
      <c r="CN35" s="41"/>
      <c r="CO35" s="41"/>
      <c r="CP35" s="41"/>
      <c r="CQ35" s="41"/>
      <c r="CR35" s="41"/>
      <c r="CS35" s="41"/>
      <c r="CT35" s="41"/>
      <c r="CU35" s="41"/>
      <c r="CV35" s="41"/>
      <c r="CW35" s="41"/>
      <c r="CX35" s="41"/>
      <c r="CY35" s="41"/>
      <c r="CZ35" s="41"/>
      <c r="DA35" s="41"/>
      <c r="DB35" s="41"/>
      <c r="DC35" s="41"/>
      <c r="DD35" s="41"/>
      <c r="DE35" s="41"/>
      <c r="DF35" s="41"/>
      <c r="DG35" s="41"/>
      <c r="DH35" s="41"/>
      <c r="DI35" s="41"/>
      <c r="DJ35" s="41"/>
      <c r="DK35" s="41"/>
      <c r="DL35" s="41"/>
      <c r="DM35" s="41"/>
      <c r="DN35" s="41"/>
      <c r="DO35" s="41"/>
      <c r="DP35" s="41"/>
      <c r="DQ35" s="41"/>
      <c r="DR35" s="41"/>
      <c r="DS35" s="41"/>
      <c r="DT35" s="41"/>
      <c r="DU35" s="41"/>
      <c r="DV35" s="41"/>
      <c r="DW35" s="41"/>
      <c r="DX35" s="41"/>
      <c r="DY35" s="41"/>
      <c r="DZ35" s="41"/>
      <c r="EA35" s="41"/>
      <c r="EB35" s="41"/>
      <c r="EC35" s="41"/>
      <c r="ED35" s="41"/>
      <c r="EE35" s="41"/>
      <c r="EF35" s="41"/>
      <c r="EG35" s="41"/>
      <c r="EH35" s="41"/>
      <c r="EI35" s="41"/>
      <c r="EJ35" s="41"/>
      <c r="EK35" s="41"/>
    </row>
    <row r="36" spans="1:141" s="42" customFormat="1" ht="21" x14ac:dyDescent="0.25">
      <c r="A36" s="7"/>
      <c r="B36" s="36" t="s">
        <v>54</v>
      </c>
      <c r="C36" s="57" t="s">
        <v>61</v>
      </c>
      <c r="D36" s="37">
        <v>1</v>
      </c>
      <c r="E36" s="38">
        <v>46146</v>
      </c>
      <c r="F36" s="38">
        <v>46148</v>
      </c>
      <c r="G36" s="40"/>
      <c r="H36" s="40"/>
      <c r="I36" s="41"/>
      <c r="J36" s="41"/>
      <c r="K36" s="41"/>
      <c r="L36" s="41"/>
      <c r="M36" s="41"/>
      <c r="N36" s="41"/>
      <c r="O36" s="41"/>
      <c r="P36" s="41"/>
      <c r="Q36" s="41"/>
      <c r="R36" s="41"/>
      <c r="S36" s="41"/>
      <c r="T36" s="41"/>
      <c r="U36" s="41"/>
      <c r="V36" s="41"/>
      <c r="W36" s="41"/>
      <c r="X36" s="41"/>
      <c r="Y36" s="41"/>
      <c r="Z36" s="41"/>
      <c r="AA36" s="41"/>
      <c r="AB36" s="41"/>
      <c r="AC36" s="41"/>
      <c r="AD36" s="41"/>
      <c r="AE36" s="41"/>
      <c r="AF36" s="41"/>
      <c r="AG36" s="41"/>
      <c r="AH36" s="41"/>
      <c r="AI36" s="41"/>
      <c r="AJ36" s="41"/>
      <c r="AK36" s="41"/>
      <c r="AL36" s="41"/>
      <c r="AM36" s="41"/>
      <c r="AN36" s="41"/>
      <c r="AO36" s="41"/>
      <c r="AP36" s="41"/>
      <c r="AQ36" s="41"/>
      <c r="AR36" s="41"/>
      <c r="AS36" s="41"/>
      <c r="AT36" s="41"/>
      <c r="AU36" s="41"/>
      <c r="AV36" s="41"/>
      <c r="AW36" s="41"/>
      <c r="AX36" s="41"/>
      <c r="AY36" s="41"/>
      <c r="AZ36" s="41"/>
      <c r="BA36" s="41"/>
      <c r="BB36" s="41"/>
      <c r="BC36" s="41"/>
      <c r="BD36" s="41"/>
      <c r="BE36" s="41"/>
      <c r="BF36" s="41"/>
      <c r="BG36" s="41"/>
      <c r="BH36" s="41"/>
      <c r="BI36" s="41"/>
      <c r="BJ36" s="41"/>
      <c r="BK36" s="41"/>
      <c r="BL36" s="41"/>
      <c r="BM36" s="41"/>
      <c r="BN36" s="41"/>
      <c r="BO36" s="41"/>
      <c r="BP36" s="41"/>
      <c r="BQ36" s="41"/>
      <c r="BR36" s="41"/>
      <c r="BS36" s="41"/>
      <c r="BT36" s="41"/>
      <c r="BU36" s="41"/>
      <c r="BV36" s="41"/>
      <c r="BW36" s="41"/>
      <c r="BX36" s="41"/>
      <c r="BY36" s="41"/>
      <c r="BZ36" s="41"/>
      <c r="CA36" s="41"/>
      <c r="CB36" s="41"/>
      <c r="CC36" s="41"/>
      <c r="CD36" s="41"/>
      <c r="CE36" s="41"/>
      <c r="CF36" s="41"/>
      <c r="CG36" s="41"/>
      <c r="CH36" s="41"/>
      <c r="CI36" s="41"/>
      <c r="CJ36" s="41"/>
      <c r="CK36" s="41"/>
      <c r="CL36" s="41"/>
      <c r="CM36" s="41"/>
      <c r="CN36" s="41"/>
      <c r="CO36" s="41"/>
      <c r="CP36" s="41"/>
      <c r="CQ36" s="41"/>
      <c r="CR36" s="41"/>
      <c r="CS36" s="41"/>
      <c r="CT36" s="41"/>
      <c r="CU36" s="41"/>
      <c r="CV36" s="41"/>
      <c r="CW36" s="41"/>
      <c r="CX36" s="41"/>
      <c r="CY36" s="41"/>
      <c r="CZ36" s="41"/>
      <c r="DA36" s="41"/>
      <c r="DB36" s="41"/>
      <c r="DC36" s="41"/>
      <c r="DD36" s="41"/>
      <c r="DE36" s="41"/>
      <c r="DF36" s="41"/>
      <c r="DG36" s="41"/>
      <c r="DH36" s="41"/>
      <c r="DI36" s="41"/>
      <c r="DJ36" s="41"/>
      <c r="DK36" s="41"/>
      <c r="DL36" s="41"/>
      <c r="DM36" s="41"/>
      <c r="DN36" s="41"/>
      <c r="DO36" s="41"/>
      <c r="DP36" s="41"/>
      <c r="DQ36" s="41"/>
      <c r="DR36" s="41"/>
      <c r="DS36" s="41"/>
      <c r="DT36" s="41"/>
      <c r="DU36" s="41"/>
      <c r="DV36" s="41"/>
      <c r="DW36" s="41"/>
      <c r="DX36" s="41"/>
      <c r="DY36" s="41"/>
      <c r="DZ36" s="41"/>
      <c r="EA36" s="41"/>
      <c r="EB36" s="41"/>
      <c r="EC36" s="41"/>
      <c r="ED36" s="41"/>
      <c r="EE36" s="41"/>
      <c r="EF36" s="41"/>
      <c r="EG36" s="41"/>
      <c r="EH36" s="41"/>
      <c r="EI36" s="41"/>
      <c r="EJ36" s="41"/>
      <c r="EK36" s="41"/>
    </row>
    <row r="37" spans="1:141" s="42" customFormat="1" ht="30" x14ac:dyDescent="0.25">
      <c r="A37" s="7"/>
      <c r="B37" s="36" t="s">
        <v>55</v>
      </c>
      <c r="C37" s="57" t="s">
        <v>64</v>
      </c>
      <c r="D37" s="37">
        <v>1</v>
      </c>
      <c r="E37" s="38">
        <v>46146</v>
      </c>
      <c r="F37" s="38">
        <v>46148</v>
      </c>
      <c r="G37" s="40"/>
      <c r="H37" s="40"/>
      <c r="I37" s="41"/>
      <c r="J37" s="41"/>
      <c r="K37" s="41"/>
      <c r="L37" s="41"/>
      <c r="M37" s="41"/>
      <c r="N37" s="41"/>
      <c r="O37" s="41"/>
      <c r="P37" s="41"/>
      <c r="Q37" s="41"/>
      <c r="R37" s="41"/>
      <c r="S37" s="41"/>
      <c r="T37" s="41"/>
      <c r="U37" s="41"/>
      <c r="V37" s="41"/>
      <c r="W37" s="41"/>
      <c r="X37" s="41"/>
      <c r="Y37" s="41"/>
      <c r="Z37" s="41"/>
      <c r="AA37" s="41"/>
      <c r="AB37" s="41"/>
      <c r="AC37" s="41"/>
      <c r="AD37" s="41"/>
      <c r="AE37" s="41"/>
      <c r="AF37" s="41"/>
      <c r="AG37" s="41"/>
      <c r="AH37" s="41"/>
      <c r="AI37" s="41"/>
      <c r="AJ37" s="41"/>
      <c r="AK37" s="41"/>
      <c r="AL37" s="41"/>
      <c r="AM37" s="41"/>
      <c r="AN37" s="41"/>
      <c r="AO37" s="41"/>
      <c r="AP37" s="41"/>
      <c r="AQ37" s="41"/>
      <c r="AR37" s="41"/>
      <c r="AS37" s="41"/>
      <c r="AT37" s="41"/>
      <c r="AU37" s="41"/>
      <c r="AV37" s="41"/>
      <c r="AW37" s="41"/>
      <c r="AX37" s="41"/>
      <c r="AY37" s="41"/>
      <c r="AZ37" s="41"/>
      <c r="BA37" s="41"/>
      <c r="BB37" s="41"/>
      <c r="BC37" s="41"/>
      <c r="BD37" s="41"/>
      <c r="BE37" s="41"/>
      <c r="BF37" s="41"/>
      <c r="BG37" s="41"/>
      <c r="BH37" s="41"/>
      <c r="BI37" s="41"/>
      <c r="BJ37" s="41"/>
      <c r="BK37" s="41"/>
      <c r="BL37" s="41"/>
      <c r="BM37" s="41"/>
      <c r="BN37" s="41"/>
      <c r="BO37" s="41"/>
      <c r="BP37" s="41"/>
      <c r="BQ37" s="41"/>
      <c r="BR37" s="41"/>
      <c r="BS37" s="41"/>
      <c r="BT37" s="41"/>
      <c r="BU37" s="41"/>
      <c r="BV37" s="41"/>
      <c r="BW37" s="41"/>
      <c r="BX37" s="41"/>
      <c r="BY37" s="41"/>
      <c r="BZ37" s="41"/>
      <c r="CA37" s="41"/>
      <c r="CB37" s="41"/>
      <c r="CC37" s="41"/>
      <c r="CD37" s="41"/>
      <c r="CE37" s="41"/>
      <c r="CF37" s="41"/>
      <c r="CG37" s="41"/>
      <c r="CH37" s="41"/>
      <c r="CI37" s="41"/>
      <c r="CJ37" s="41"/>
      <c r="CK37" s="41"/>
      <c r="CL37" s="41"/>
      <c r="CM37" s="41"/>
      <c r="CN37" s="41"/>
      <c r="CO37" s="41"/>
      <c r="CP37" s="41"/>
      <c r="CQ37" s="41"/>
      <c r="CR37" s="41"/>
      <c r="CS37" s="41"/>
      <c r="CT37" s="41"/>
      <c r="CU37" s="41"/>
      <c r="CV37" s="41"/>
      <c r="CW37" s="41"/>
      <c r="CX37" s="41"/>
      <c r="CY37" s="41"/>
      <c r="CZ37" s="41"/>
      <c r="DA37" s="41"/>
      <c r="DB37" s="41"/>
      <c r="DC37" s="41"/>
      <c r="DD37" s="41"/>
      <c r="DE37" s="41"/>
      <c r="DF37" s="41"/>
      <c r="DG37" s="41"/>
      <c r="DH37" s="41"/>
      <c r="DI37" s="41"/>
      <c r="DJ37" s="41"/>
      <c r="DK37" s="41"/>
      <c r="DL37" s="41"/>
      <c r="DM37" s="41"/>
      <c r="DN37" s="41"/>
      <c r="DO37" s="41"/>
      <c r="DP37" s="41"/>
      <c r="DQ37" s="41"/>
      <c r="DR37" s="41"/>
      <c r="DS37" s="41"/>
      <c r="DT37" s="41"/>
      <c r="DU37" s="41"/>
      <c r="DV37" s="41"/>
      <c r="DW37" s="41"/>
      <c r="DX37" s="41"/>
      <c r="DY37" s="41"/>
      <c r="DZ37" s="41"/>
      <c r="EA37" s="41"/>
      <c r="EB37" s="41"/>
      <c r="EC37" s="41"/>
      <c r="ED37" s="41"/>
      <c r="EE37" s="41"/>
      <c r="EF37" s="41"/>
      <c r="EG37" s="41"/>
      <c r="EH37" s="41"/>
      <c r="EI37" s="41"/>
      <c r="EJ37" s="41"/>
      <c r="EK37" s="41"/>
    </row>
    <row r="38" spans="1:141" s="42" customFormat="1" ht="21" x14ac:dyDescent="0.25">
      <c r="A38" s="7"/>
      <c r="B38" s="36" t="s">
        <v>56</v>
      </c>
      <c r="C38" s="57" t="s">
        <v>26</v>
      </c>
      <c r="D38" s="37">
        <v>0.9</v>
      </c>
      <c r="E38" s="38">
        <v>46146</v>
      </c>
      <c r="F38" s="38">
        <v>46148</v>
      </c>
      <c r="G38" s="40"/>
      <c r="H38" s="40"/>
      <c r="I38" s="41"/>
      <c r="J38" s="41"/>
      <c r="K38" s="41"/>
      <c r="L38" s="41"/>
      <c r="M38" s="41"/>
      <c r="N38" s="41"/>
      <c r="O38" s="41"/>
      <c r="P38" s="41"/>
      <c r="Q38" s="41"/>
      <c r="R38" s="41"/>
      <c r="S38" s="41"/>
      <c r="T38" s="41"/>
      <c r="U38" s="41"/>
      <c r="V38" s="41"/>
      <c r="W38" s="41"/>
      <c r="X38" s="41"/>
      <c r="Y38" s="41"/>
      <c r="Z38" s="41"/>
      <c r="AA38" s="41"/>
      <c r="AB38" s="41"/>
      <c r="AC38" s="41"/>
      <c r="AD38" s="41"/>
      <c r="AE38" s="41"/>
      <c r="AF38" s="41"/>
      <c r="AG38" s="41"/>
      <c r="AH38" s="41"/>
      <c r="AI38" s="41"/>
      <c r="AJ38" s="41"/>
      <c r="AK38" s="41"/>
      <c r="AL38" s="41"/>
      <c r="AM38" s="41"/>
      <c r="AN38" s="41"/>
      <c r="AO38" s="41"/>
      <c r="AP38" s="41"/>
      <c r="AQ38" s="41"/>
      <c r="AR38" s="41"/>
      <c r="AS38" s="41"/>
      <c r="AT38" s="41"/>
      <c r="AU38" s="41"/>
      <c r="AV38" s="41"/>
      <c r="AW38" s="41"/>
      <c r="AX38" s="41"/>
      <c r="AY38" s="41"/>
      <c r="AZ38" s="41"/>
      <c r="BA38" s="41"/>
      <c r="BB38" s="41"/>
      <c r="BC38" s="41"/>
      <c r="BD38" s="41"/>
      <c r="BE38" s="41"/>
      <c r="BF38" s="41"/>
      <c r="BG38" s="41"/>
      <c r="BH38" s="41"/>
      <c r="BI38" s="41"/>
      <c r="BJ38" s="41"/>
      <c r="BK38" s="41"/>
      <c r="BL38" s="41"/>
      <c r="BM38" s="41"/>
      <c r="BN38" s="41"/>
      <c r="BO38" s="41"/>
      <c r="BP38" s="41"/>
      <c r="BQ38" s="41"/>
      <c r="BR38" s="41"/>
      <c r="BS38" s="41"/>
      <c r="BT38" s="41"/>
      <c r="BU38" s="41"/>
      <c r="BV38" s="41"/>
      <c r="BW38" s="41"/>
      <c r="BX38" s="41"/>
      <c r="BY38" s="41"/>
      <c r="BZ38" s="41"/>
      <c r="CA38" s="41"/>
      <c r="CB38" s="41"/>
      <c r="CC38" s="41"/>
      <c r="CD38" s="41"/>
      <c r="CE38" s="41"/>
      <c r="CF38" s="41"/>
      <c r="CG38" s="41"/>
      <c r="CH38" s="41"/>
      <c r="CI38" s="41"/>
      <c r="CJ38" s="41"/>
      <c r="CK38" s="41"/>
      <c r="CL38" s="41"/>
      <c r="CM38" s="41"/>
      <c r="CN38" s="41"/>
      <c r="CO38" s="41"/>
      <c r="CP38" s="41"/>
      <c r="CQ38" s="41"/>
      <c r="CR38" s="41"/>
      <c r="CS38" s="41"/>
      <c r="CT38" s="41"/>
      <c r="CU38" s="41"/>
      <c r="CV38" s="41"/>
      <c r="CW38" s="41"/>
      <c r="CX38" s="41"/>
      <c r="CY38" s="41"/>
      <c r="CZ38" s="41"/>
      <c r="DA38" s="41"/>
      <c r="DB38" s="41"/>
      <c r="DC38" s="41"/>
      <c r="DD38" s="41"/>
      <c r="DE38" s="41"/>
      <c r="DF38" s="41"/>
      <c r="DG38" s="41"/>
      <c r="DH38" s="41"/>
      <c r="DI38" s="41"/>
      <c r="DJ38" s="41"/>
      <c r="DK38" s="41"/>
      <c r="DL38" s="41"/>
      <c r="DM38" s="41"/>
      <c r="DN38" s="41"/>
      <c r="DO38" s="41"/>
      <c r="DP38" s="41"/>
      <c r="DQ38" s="41"/>
      <c r="DR38" s="41"/>
      <c r="DS38" s="41"/>
      <c r="DT38" s="41"/>
      <c r="DU38" s="41"/>
      <c r="DV38" s="41"/>
      <c r="DW38" s="41"/>
      <c r="DX38" s="41"/>
      <c r="DY38" s="41"/>
      <c r="DZ38" s="41"/>
      <c r="EA38" s="41"/>
      <c r="EB38" s="41"/>
      <c r="EC38" s="41"/>
      <c r="ED38" s="41"/>
      <c r="EE38" s="41"/>
      <c r="EF38" s="41"/>
      <c r="EG38" s="41"/>
      <c r="EH38" s="41"/>
      <c r="EI38" s="41"/>
      <c r="EJ38" s="41"/>
      <c r="EK38" s="41"/>
    </row>
    <row r="39" spans="1:141" s="42" customFormat="1" ht="21" x14ac:dyDescent="0.25">
      <c r="A39" s="7"/>
      <c r="B39" s="36" t="s">
        <v>57</v>
      </c>
      <c r="C39" s="57" t="s">
        <v>25</v>
      </c>
      <c r="D39" s="37">
        <v>0</v>
      </c>
      <c r="E39" s="38">
        <v>46146</v>
      </c>
      <c r="F39" s="38">
        <v>46148</v>
      </c>
      <c r="G39" s="40"/>
      <c r="H39" s="40"/>
      <c r="I39" s="41"/>
      <c r="J39" s="41"/>
      <c r="K39" s="41"/>
      <c r="L39" s="41"/>
      <c r="M39" s="41"/>
      <c r="N39" s="41"/>
      <c r="O39" s="41"/>
      <c r="P39" s="41"/>
      <c r="Q39" s="41"/>
      <c r="R39" s="41"/>
      <c r="S39" s="41"/>
      <c r="T39" s="41"/>
      <c r="U39" s="41"/>
      <c r="V39" s="41"/>
      <c r="W39" s="41"/>
      <c r="X39" s="41"/>
      <c r="Y39" s="41"/>
      <c r="Z39" s="41"/>
      <c r="AA39" s="41"/>
      <c r="AB39" s="41"/>
      <c r="AC39" s="41"/>
      <c r="AD39" s="41"/>
      <c r="AE39" s="41"/>
      <c r="AF39" s="41"/>
      <c r="AG39" s="41"/>
      <c r="AH39" s="41"/>
      <c r="AI39" s="41"/>
      <c r="AJ39" s="41"/>
      <c r="AK39" s="41"/>
      <c r="AL39" s="41"/>
      <c r="AM39" s="41"/>
      <c r="AN39" s="41"/>
      <c r="AO39" s="41"/>
      <c r="AP39" s="41"/>
      <c r="AQ39" s="41"/>
      <c r="AR39" s="41"/>
      <c r="AS39" s="41"/>
      <c r="AT39" s="41"/>
      <c r="AU39" s="41"/>
      <c r="AV39" s="41"/>
      <c r="AW39" s="41"/>
      <c r="AX39" s="41"/>
      <c r="AY39" s="41"/>
      <c r="AZ39" s="41"/>
      <c r="BA39" s="41"/>
      <c r="BB39" s="41"/>
      <c r="BC39" s="41"/>
      <c r="BD39" s="41"/>
      <c r="BE39" s="41"/>
      <c r="BF39" s="41"/>
      <c r="BG39" s="41"/>
      <c r="BH39" s="41"/>
      <c r="BI39" s="41"/>
      <c r="BJ39" s="41"/>
      <c r="BK39" s="41"/>
      <c r="BL39" s="41"/>
      <c r="BM39" s="41"/>
      <c r="BN39" s="41"/>
      <c r="BO39" s="41"/>
      <c r="BP39" s="41"/>
      <c r="BQ39" s="41"/>
      <c r="BR39" s="41"/>
      <c r="BS39" s="41"/>
      <c r="BT39" s="41"/>
      <c r="BU39" s="41"/>
      <c r="BV39" s="41"/>
      <c r="BW39" s="41"/>
      <c r="BX39" s="41"/>
      <c r="BY39" s="41"/>
      <c r="BZ39" s="41"/>
      <c r="CA39" s="41"/>
      <c r="CB39" s="41"/>
      <c r="CC39" s="41"/>
      <c r="CD39" s="41"/>
      <c r="CE39" s="41"/>
      <c r="CF39" s="41"/>
      <c r="CG39" s="41"/>
      <c r="CH39" s="41"/>
      <c r="CI39" s="41"/>
      <c r="CJ39" s="41"/>
      <c r="CK39" s="41"/>
      <c r="CL39" s="41"/>
      <c r="CM39" s="41"/>
      <c r="CN39" s="41"/>
      <c r="CO39" s="41"/>
      <c r="CP39" s="41"/>
      <c r="CQ39" s="41"/>
      <c r="CR39" s="41"/>
      <c r="CS39" s="41"/>
      <c r="CT39" s="41"/>
      <c r="CU39" s="41"/>
      <c r="CV39" s="41"/>
      <c r="CW39" s="41"/>
      <c r="CX39" s="41"/>
      <c r="CY39" s="41"/>
      <c r="CZ39" s="41"/>
      <c r="DA39" s="41"/>
      <c r="DB39" s="41"/>
      <c r="DC39" s="41"/>
      <c r="DD39" s="41"/>
      <c r="DE39" s="41"/>
      <c r="DF39" s="41"/>
      <c r="DG39" s="41"/>
      <c r="DH39" s="41"/>
      <c r="DI39" s="41"/>
      <c r="DJ39" s="41"/>
      <c r="DK39" s="41"/>
      <c r="DL39" s="41"/>
      <c r="DM39" s="41"/>
      <c r="DN39" s="41"/>
      <c r="DO39" s="41"/>
      <c r="DP39" s="41"/>
      <c r="DQ39" s="41"/>
      <c r="DR39" s="41"/>
      <c r="DS39" s="41"/>
      <c r="DT39" s="41"/>
      <c r="DU39" s="41"/>
      <c r="DV39" s="41"/>
      <c r="DW39" s="41"/>
      <c r="DX39" s="41"/>
      <c r="DY39" s="41"/>
      <c r="DZ39" s="41"/>
      <c r="EA39" s="41"/>
      <c r="EB39" s="41"/>
      <c r="EC39" s="41"/>
      <c r="ED39" s="41"/>
      <c r="EE39" s="41"/>
      <c r="EF39" s="41"/>
      <c r="EG39" s="41"/>
      <c r="EH39" s="41"/>
      <c r="EI39" s="41"/>
      <c r="EJ39" s="41"/>
      <c r="EK39" s="41"/>
    </row>
    <row r="40" spans="1:141" s="42" customFormat="1" ht="21" x14ac:dyDescent="0.25">
      <c r="A40" s="7"/>
      <c r="B40" s="36"/>
      <c r="C40" s="57"/>
      <c r="D40" s="37"/>
      <c r="E40" s="38"/>
      <c r="F40" s="39"/>
      <c r="G40" s="40"/>
      <c r="H40" s="40"/>
      <c r="I40" s="41"/>
      <c r="J40" s="41"/>
      <c r="K40" s="41"/>
      <c r="L40" s="41"/>
      <c r="M40" s="41"/>
      <c r="N40" s="41"/>
      <c r="O40" s="41"/>
      <c r="P40" s="41"/>
      <c r="Q40" s="41"/>
      <c r="R40" s="41"/>
      <c r="S40" s="41"/>
      <c r="T40" s="41"/>
      <c r="U40" s="41"/>
      <c r="V40" s="41"/>
      <c r="W40" s="41"/>
      <c r="X40" s="41"/>
      <c r="Y40" s="41"/>
      <c r="Z40" s="41"/>
      <c r="AA40" s="41"/>
      <c r="AB40" s="41"/>
      <c r="AC40" s="41"/>
      <c r="AD40" s="41"/>
      <c r="AE40" s="41"/>
      <c r="AF40" s="41"/>
      <c r="AG40" s="41"/>
      <c r="AH40" s="41"/>
      <c r="AI40" s="41"/>
      <c r="AJ40" s="41"/>
      <c r="AK40" s="41"/>
      <c r="AL40" s="41"/>
      <c r="AM40" s="41"/>
      <c r="AN40" s="41"/>
      <c r="AO40" s="41"/>
      <c r="AP40" s="41"/>
      <c r="AQ40" s="41"/>
      <c r="AR40" s="41"/>
      <c r="AS40" s="41"/>
      <c r="AT40" s="41"/>
      <c r="AU40" s="41"/>
      <c r="AV40" s="41"/>
      <c r="AW40" s="41"/>
      <c r="AX40" s="41"/>
      <c r="AY40" s="41"/>
      <c r="AZ40" s="41"/>
      <c r="BA40" s="41"/>
      <c r="BB40" s="41"/>
      <c r="BC40" s="41"/>
      <c r="BD40" s="41"/>
      <c r="BE40" s="41"/>
      <c r="BF40" s="41"/>
      <c r="BG40" s="41"/>
      <c r="BH40" s="41"/>
      <c r="BI40" s="41"/>
      <c r="BJ40" s="41"/>
      <c r="BK40" s="41"/>
      <c r="BL40" s="41"/>
      <c r="BM40" s="41"/>
      <c r="BN40" s="41"/>
      <c r="BO40" s="41"/>
      <c r="BP40" s="41"/>
      <c r="BQ40" s="41"/>
      <c r="BR40" s="41"/>
      <c r="BS40" s="41"/>
      <c r="BT40" s="41"/>
      <c r="BU40" s="41"/>
      <c r="BV40" s="41"/>
      <c r="BW40" s="41"/>
      <c r="BX40" s="41"/>
      <c r="BY40" s="41"/>
      <c r="BZ40" s="41"/>
      <c r="CA40" s="41"/>
      <c r="CB40" s="41"/>
      <c r="CC40" s="41"/>
      <c r="CD40" s="41"/>
      <c r="CE40" s="41"/>
      <c r="CF40" s="41"/>
      <c r="CG40" s="41"/>
      <c r="CH40" s="41"/>
      <c r="CI40" s="41"/>
      <c r="CJ40" s="41"/>
      <c r="CK40" s="41"/>
      <c r="CL40" s="41"/>
      <c r="CM40" s="41"/>
      <c r="CN40" s="41"/>
      <c r="CO40" s="41"/>
      <c r="CP40" s="41"/>
      <c r="CQ40" s="41"/>
      <c r="CR40" s="41"/>
      <c r="CS40" s="41"/>
      <c r="CT40" s="41"/>
      <c r="CU40" s="41"/>
      <c r="CV40" s="41"/>
      <c r="CW40" s="41"/>
      <c r="CX40" s="41"/>
      <c r="CY40" s="41"/>
      <c r="CZ40" s="41"/>
      <c r="DA40" s="41"/>
      <c r="DB40" s="41"/>
      <c r="DC40" s="41"/>
      <c r="DD40" s="41"/>
      <c r="DE40" s="41"/>
      <c r="DF40" s="41"/>
      <c r="DG40" s="41"/>
      <c r="DH40" s="41"/>
      <c r="DI40" s="41"/>
      <c r="DJ40" s="41"/>
      <c r="DK40" s="41"/>
      <c r="DL40" s="41"/>
      <c r="DM40" s="41"/>
      <c r="DN40" s="41"/>
      <c r="DO40" s="41"/>
      <c r="DP40" s="41"/>
      <c r="DQ40" s="41"/>
      <c r="DR40" s="41"/>
      <c r="DS40" s="41"/>
      <c r="DT40" s="41"/>
      <c r="DU40" s="41"/>
      <c r="DV40" s="41"/>
      <c r="DW40" s="41"/>
      <c r="DX40" s="41"/>
      <c r="DY40" s="41"/>
      <c r="DZ40" s="41"/>
      <c r="EA40" s="41"/>
      <c r="EB40" s="41"/>
      <c r="EC40" s="41"/>
      <c r="ED40" s="41"/>
      <c r="EE40" s="41"/>
      <c r="EF40" s="41"/>
      <c r="EG40" s="41"/>
      <c r="EH40" s="41"/>
      <c r="EI40" s="41"/>
      <c r="EJ40" s="41"/>
      <c r="EK40" s="41"/>
    </row>
    <row r="41" spans="1:141" s="42" customFormat="1" ht="21" x14ac:dyDescent="0.25">
      <c r="A41" s="7"/>
      <c r="B41" s="49" t="s">
        <v>58</v>
      </c>
      <c r="C41" s="58"/>
      <c r="D41" s="50"/>
      <c r="E41" s="51"/>
      <c r="F41" s="52"/>
      <c r="G41" s="53"/>
      <c r="H41" s="40"/>
      <c r="I41" s="41"/>
      <c r="J41" s="41"/>
      <c r="K41" s="41"/>
      <c r="L41" s="41"/>
      <c r="M41" s="41"/>
      <c r="N41" s="41"/>
      <c r="O41" s="41"/>
      <c r="P41" s="41"/>
      <c r="Q41" s="41"/>
      <c r="R41" s="41"/>
      <c r="S41" s="41"/>
      <c r="T41" s="41"/>
      <c r="U41" s="41"/>
      <c r="V41" s="41"/>
      <c r="W41" s="41"/>
      <c r="X41" s="41"/>
      <c r="Y41" s="41"/>
      <c r="Z41" s="41"/>
      <c r="AA41" s="41"/>
      <c r="AB41" s="41"/>
      <c r="AC41" s="41"/>
      <c r="AD41" s="41"/>
      <c r="AE41" s="41"/>
      <c r="AF41" s="41"/>
      <c r="AG41" s="41"/>
      <c r="AH41" s="41"/>
      <c r="AI41" s="41"/>
      <c r="AJ41" s="41"/>
      <c r="AK41" s="41"/>
      <c r="AL41" s="41"/>
      <c r="AM41" s="41"/>
      <c r="AN41" s="41"/>
      <c r="AO41" s="41"/>
      <c r="AP41" s="41"/>
      <c r="AQ41" s="41"/>
      <c r="AR41" s="41"/>
      <c r="AS41" s="41"/>
      <c r="AT41" s="41"/>
      <c r="AU41" s="41"/>
      <c r="AV41" s="41"/>
      <c r="AW41" s="41"/>
      <c r="AX41" s="41"/>
      <c r="AY41" s="41"/>
      <c r="AZ41" s="41"/>
      <c r="BA41" s="41"/>
      <c r="BB41" s="41"/>
      <c r="BC41" s="41"/>
      <c r="BD41" s="41"/>
      <c r="BE41" s="41"/>
      <c r="BF41" s="41"/>
      <c r="BG41" s="41"/>
      <c r="BH41" s="41"/>
      <c r="BI41" s="41"/>
      <c r="BJ41" s="41"/>
      <c r="BK41" s="41"/>
      <c r="BL41" s="41"/>
      <c r="BM41" s="41"/>
      <c r="BN41" s="41"/>
      <c r="BO41" s="41"/>
      <c r="BP41" s="41"/>
      <c r="BQ41" s="41"/>
      <c r="BR41" s="41"/>
      <c r="BS41" s="41"/>
      <c r="BT41" s="41"/>
      <c r="BU41" s="41"/>
      <c r="BV41" s="41"/>
      <c r="BW41" s="41"/>
      <c r="BX41" s="41"/>
      <c r="BY41" s="41"/>
      <c r="BZ41" s="41"/>
      <c r="CA41" s="41"/>
      <c r="CB41" s="41"/>
      <c r="CC41" s="41"/>
      <c r="CD41" s="41"/>
      <c r="CE41" s="41"/>
      <c r="CF41" s="41"/>
      <c r="CG41" s="41"/>
      <c r="CH41" s="41"/>
      <c r="CI41" s="41"/>
      <c r="CJ41" s="41"/>
      <c r="CK41" s="41"/>
      <c r="CL41" s="41"/>
      <c r="CM41" s="41"/>
      <c r="CN41" s="41"/>
      <c r="CO41" s="41"/>
      <c r="CP41" s="41"/>
      <c r="CQ41" s="41"/>
      <c r="CR41" s="41"/>
      <c r="CS41" s="41"/>
      <c r="CT41" s="41"/>
      <c r="CU41" s="41"/>
      <c r="CV41" s="41"/>
      <c r="CW41" s="41"/>
      <c r="CX41" s="41"/>
      <c r="CY41" s="41"/>
      <c r="CZ41" s="41"/>
      <c r="DA41" s="41"/>
      <c r="DB41" s="41"/>
      <c r="DC41" s="41"/>
      <c r="DD41" s="41"/>
      <c r="DE41" s="41"/>
      <c r="DF41" s="41"/>
      <c r="DG41" s="41"/>
      <c r="DH41" s="41"/>
      <c r="DI41" s="41"/>
      <c r="DJ41" s="41"/>
      <c r="DK41" s="41"/>
      <c r="DL41" s="41"/>
      <c r="DM41" s="41"/>
      <c r="DN41" s="41"/>
      <c r="DO41" s="41"/>
      <c r="DP41" s="41"/>
      <c r="DQ41" s="41"/>
      <c r="DR41" s="41"/>
      <c r="DS41" s="41"/>
      <c r="DT41" s="41"/>
      <c r="DU41" s="41"/>
      <c r="DV41" s="41"/>
      <c r="DW41" s="41"/>
      <c r="DX41" s="41"/>
      <c r="DY41" s="41"/>
      <c r="DZ41" s="41"/>
      <c r="EA41" s="41"/>
      <c r="EB41" s="41"/>
      <c r="EC41" s="41"/>
      <c r="ED41" s="41"/>
      <c r="EE41" s="41"/>
      <c r="EF41" s="41"/>
      <c r="EG41" s="41"/>
      <c r="EH41" s="41"/>
      <c r="EI41" s="41"/>
      <c r="EJ41" s="41"/>
      <c r="EK41" s="41"/>
    </row>
    <row r="42" spans="1:141" s="42" customFormat="1" ht="21" x14ac:dyDescent="0.25">
      <c r="A42" s="7"/>
      <c r="B42" s="36" t="s">
        <v>65</v>
      </c>
      <c r="C42" s="57" t="s">
        <v>25</v>
      </c>
      <c r="D42" s="37">
        <v>0</v>
      </c>
      <c r="E42" s="38">
        <v>46149</v>
      </c>
      <c r="F42" s="39">
        <v>46150</v>
      </c>
      <c r="G42" s="40"/>
      <c r="H42" s="40"/>
      <c r="I42" s="41"/>
      <c r="J42" s="41"/>
      <c r="K42" s="41"/>
      <c r="L42" s="41"/>
      <c r="M42" s="41"/>
      <c r="N42" s="41"/>
      <c r="O42" s="41"/>
      <c r="P42" s="41"/>
      <c r="Q42" s="41"/>
      <c r="R42" s="41"/>
      <c r="S42" s="41"/>
      <c r="T42" s="41"/>
      <c r="U42" s="41"/>
      <c r="V42" s="41"/>
      <c r="W42" s="41"/>
      <c r="X42" s="41"/>
      <c r="Y42" s="41"/>
      <c r="Z42" s="41"/>
      <c r="AA42" s="41"/>
      <c r="AB42" s="41"/>
      <c r="AC42" s="41"/>
      <c r="AD42" s="41"/>
      <c r="AE42" s="41"/>
      <c r="AF42" s="41"/>
      <c r="AG42" s="41"/>
      <c r="AH42" s="41"/>
      <c r="AI42" s="41"/>
      <c r="AJ42" s="41"/>
      <c r="AK42" s="41"/>
      <c r="AL42" s="41"/>
      <c r="AM42" s="41"/>
      <c r="AN42" s="41"/>
      <c r="AO42" s="41"/>
      <c r="AP42" s="41"/>
      <c r="AQ42" s="41"/>
      <c r="AR42" s="41"/>
      <c r="AS42" s="41"/>
      <c r="AT42" s="41"/>
      <c r="AU42" s="41"/>
      <c r="AV42" s="41"/>
      <c r="AW42" s="41"/>
      <c r="AX42" s="41"/>
      <c r="AY42" s="41"/>
      <c r="AZ42" s="41"/>
      <c r="BA42" s="41"/>
      <c r="BB42" s="41"/>
      <c r="BC42" s="41"/>
      <c r="BD42" s="41"/>
      <c r="BE42" s="41"/>
      <c r="BF42" s="41"/>
      <c r="BG42" s="41"/>
      <c r="BH42" s="41"/>
      <c r="BI42" s="41"/>
      <c r="BJ42" s="41"/>
      <c r="BK42" s="41"/>
      <c r="BL42" s="41"/>
      <c r="BM42" s="41"/>
      <c r="BN42" s="41"/>
      <c r="BO42" s="41"/>
      <c r="BP42" s="41"/>
      <c r="BQ42" s="41"/>
      <c r="BR42" s="41"/>
      <c r="BS42" s="41"/>
      <c r="BT42" s="41"/>
      <c r="BU42" s="41"/>
      <c r="BV42" s="41"/>
      <c r="BW42" s="41"/>
      <c r="BX42" s="41"/>
      <c r="BY42" s="41"/>
      <c r="BZ42" s="41"/>
      <c r="CA42" s="41"/>
      <c r="CB42" s="41"/>
      <c r="CC42" s="41"/>
      <c r="CD42" s="41"/>
      <c r="CE42" s="41"/>
      <c r="CF42" s="41"/>
      <c r="CG42" s="41"/>
      <c r="CH42" s="41"/>
      <c r="CI42" s="41"/>
      <c r="CJ42" s="41"/>
      <c r="CK42" s="41"/>
      <c r="CL42" s="41"/>
      <c r="CM42" s="41"/>
      <c r="CN42" s="41"/>
      <c r="CO42" s="41"/>
      <c r="CP42" s="41"/>
      <c r="CQ42" s="41"/>
      <c r="CR42" s="41"/>
      <c r="CS42" s="41"/>
      <c r="CT42" s="41"/>
      <c r="CU42" s="41"/>
      <c r="CV42" s="41"/>
      <c r="CW42" s="41"/>
      <c r="CX42" s="41"/>
      <c r="CY42" s="41"/>
      <c r="CZ42" s="41"/>
      <c r="DA42" s="41"/>
      <c r="DB42" s="41"/>
      <c r="DC42" s="41"/>
      <c r="DD42" s="41"/>
      <c r="DE42" s="41"/>
      <c r="DF42" s="41"/>
      <c r="DG42" s="41"/>
      <c r="DH42" s="41"/>
      <c r="DI42" s="41"/>
      <c r="DJ42" s="41"/>
      <c r="DK42" s="41"/>
      <c r="DL42" s="41"/>
      <c r="DM42" s="41"/>
      <c r="DN42" s="41"/>
      <c r="DO42" s="41"/>
      <c r="DP42" s="41"/>
      <c r="DQ42" s="41"/>
      <c r="DR42" s="41"/>
      <c r="DS42" s="41"/>
      <c r="DT42" s="41"/>
      <c r="DU42" s="41"/>
      <c r="DV42" s="41"/>
      <c r="DW42" s="41"/>
      <c r="DX42" s="41"/>
      <c r="DY42" s="41"/>
      <c r="DZ42" s="41"/>
      <c r="EA42" s="41"/>
      <c r="EB42" s="41"/>
      <c r="EC42" s="41"/>
      <c r="ED42" s="41"/>
      <c r="EE42" s="41"/>
      <c r="EF42" s="41"/>
      <c r="EG42" s="41"/>
      <c r="EH42" s="41"/>
      <c r="EI42" s="41"/>
      <c r="EJ42" s="41"/>
      <c r="EK42" s="41"/>
    </row>
    <row r="43" spans="1:141" s="42" customFormat="1" ht="21" x14ac:dyDescent="0.25">
      <c r="A43" s="7"/>
      <c r="B43" s="36" t="s">
        <v>59</v>
      </c>
      <c r="C43" s="57" t="s">
        <v>26</v>
      </c>
      <c r="D43" s="37">
        <v>0</v>
      </c>
      <c r="E43" s="38">
        <v>46149</v>
      </c>
      <c r="F43" s="39">
        <v>46150</v>
      </c>
      <c r="G43" s="40"/>
      <c r="H43" s="40"/>
      <c r="I43" s="41"/>
      <c r="J43" s="41"/>
      <c r="K43" s="41"/>
      <c r="L43" s="41"/>
      <c r="M43" s="41"/>
      <c r="N43" s="41"/>
      <c r="O43" s="41"/>
      <c r="P43" s="41"/>
      <c r="Q43" s="41"/>
      <c r="R43" s="41"/>
      <c r="S43" s="41"/>
      <c r="T43" s="41"/>
      <c r="U43" s="41"/>
      <c r="V43" s="41"/>
      <c r="W43" s="41"/>
      <c r="X43" s="41"/>
      <c r="Y43" s="41"/>
      <c r="Z43" s="41"/>
      <c r="AA43" s="41"/>
      <c r="AB43" s="41"/>
      <c r="AC43" s="41"/>
      <c r="AD43" s="41"/>
      <c r="AE43" s="41"/>
      <c r="AF43" s="41"/>
      <c r="AG43" s="41"/>
      <c r="AH43" s="41"/>
      <c r="AI43" s="41"/>
      <c r="AJ43" s="41"/>
      <c r="AK43" s="41"/>
      <c r="AL43" s="41"/>
      <c r="AM43" s="41"/>
      <c r="AN43" s="41"/>
      <c r="AO43" s="41"/>
      <c r="AP43" s="41"/>
      <c r="AQ43" s="41"/>
      <c r="AR43" s="41"/>
      <c r="AS43" s="41"/>
      <c r="AT43" s="41"/>
      <c r="AU43" s="41"/>
      <c r="AV43" s="41"/>
      <c r="AW43" s="41"/>
      <c r="AX43" s="41"/>
      <c r="AY43" s="41"/>
      <c r="AZ43" s="41"/>
      <c r="BA43" s="41"/>
      <c r="BB43" s="41"/>
      <c r="BC43" s="41"/>
      <c r="BD43" s="41"/>
      <c r="BE43" s="41"/>
      <c r="BF43" s="41"/>
      <c r="BG43" s="41"/>
      <c r="BH43" s="41"/>
      <c r="BI43" s="41"/>
      <c r="BJ43" s="41"/>
      <c r="BK43" s="41"/>
      <c r="BL43" s="41"/>
      <c r="BM43" s="41"/>
      <c r="BN43" s="41"/>
      <c r="BO43" s="41"/>
      <c r="BP43" s="41"/>
      <c r="BQ43" s="41"/>
      <c r="BR43" s="41"/>
      <c r="BS43" s="41"/>
      <c r="BT43" s="41"/>
      <c r="BU43" s="41"/>
      <c r="BV43" s="41"/>
      <c r="BW43" s="41"/>
      <c r="BX43" s="41"/>
      <c r="BY43" s="41"/>
      <c r="BZ43" s="41"/>
      <c r="CA43" s="41"/>
      <c r="CB43" s="41"/>
      <c r="CC43" s="41"/>
      <c r="CD43" s="41"/>
      <c r="CE43" s="41"/>
      <c r="CF43" s="41"/>
      <c r="CG43" s="41"/>
      <c r="CH43" s="41"/>
      <c r="CI43" s="41"/>
      <c r="CJ43" s="41"/>
      <c r="CK43" s="41"/>
      <c r="CL43" s="41"/>
      <c r="CM43" s="41"/>
      <c r="CN43" s="41"/>
      <c r="CO43" s="41"/>
      <c r="CP43" s="41"/>
      <c r="CQ43" s="41"/>
      <c r="CR43" s="41"/>
      <c r="CS43" s="41"/>
      <c r="CT43" s="41"/>
      <c r="CU43" s="41"/>
      <c r="CV43" s="41"/>
      <c r="CW43" s="41"/>
      <c r="CX43" s="41"/>
      <c r="CY43" s="41"/>
      <c r="CZ43" s="41"/>
      <c r="DA43" s="41"/>
      <c r="DB43" s="41"/>
      <c r="DC43" s="41"/>
      <c r="DD43" s="41"/>
      <c r="DE43" s="41"/>
      <c r="DF43" s="41"/>
      <c r="DG43" s="41"/>
      <c r="DH43" s="41"/>
      <c r="DI43" s="41"/>
      <c r="DJ43" s="41"/>
      <c r="DK43" s="41"/>
      <c r="DL43" s="41"/>
      <c r="DM43" s="41"/>
      <c r="DN43" s="41"/>
      <c r="DO43" s="41"/>
      <c r="DP43" s="41"/>
      <c r="DQ43" s="41"/>
      <c r="DR43" s="41"/>
      <c r="DS43" s="41"/>
      <c r="DT43" s="41"/>
      <c r="DU43" s="41"/>
      <c r="DV43" s="41"/>
      <c r="DW43" s="41"/>
      <c r="DX43" s="41"/>
      <c r="DY43" s="41"/>
      <c r="DZ43" s="41"/>
      <c r="EA43" s="41"/>
      <c r="EB43" s="41"/>
      <c r="EC43" s="41"/>
      <c r="ED43" s="41"/>
      <c r="EE43" s="41"/>
      <c r="EF43" s="41"/>
      <c r="EG43" s="41"/>
      <c r="EH43" s="41"/>
      <c r="EI43" s="41"/>
      <c r="EJ43" s="41"/>
      <c r="EK43" s="41"/>
    </row>
    <row r="44" spans="1:141" s="42" customFormat="1" ht="21" x14ac:dyDescent="0.25">
      <c r="A44" s="7"/>
      <c r="B44" s="36"/>
      <c r="C44" s="57"/>
      <c r="D44" s="37"/>
      <c r="E44" s="38"/>
      <c r="F44" s="39"/>
      <c r="G44" s="40"/>
      <c r="H44" s="40"/>
      <c r="I44" s="41"/>
      <c r="J44" s="41"/>
      <c r="K44" s="41"/>
      <c r="L44" s="41"/>
      <c r="M44" s="41"/>
      <c r="N44" s="41"/>
      <c r="O44" s="41"/>
      <c r="P44" s="41"/>
      <c r="Q44" s="41"/>
      <c r="R44" s="41"/>
      <c r="S44" s="41"/>
      <c r="T44" s="41"/>
      <c r="U44" s="41"/>
      <c r="V44" s="41"/>
      <c r="W44" s="41"/>
      <c r="X44" s="41"/>
      <c r="Y44" s="41"/>
      <c r="Z44" s="41"/>
      <c r="AA44" s="41"/>
      <c r="AB44" s="41"/>
      <c r="AC44" s="41"/>
      <c r="AD44" s="41"/>
      <c r="AE44" s="41"/>
      <c r="AF44" s="41"/>
      <c r="AG44" s="41"/>
      <c r="AH44" s="41"/>
      <c r="AI44" s="41"/>
      <c r="AJ44" s="41"/>
      <c r="AK44" s="41"/>
      <c r="AL44" s="41"/>
      <c r="AM44" s="41"/>
      <c r="AN44" s="41"/>
      <c r="AO44" s="41"/>
      <c r="AP44" s="41"/>
      <c r="AQ44" s="41"/>
      <c r="AR44" s="41"/>
      <c r="AS44" s="41"/>
      <c r="AT44" s="41"/>
      <c r="AU44" s="41"/>
      <c r="AV44" s="41"/>
      <c r="AW44" s="41"/>
      <c r="AX44" s="41"/>
      <c r="AY44" s="41"/>
      <c r="AZ44" s="41"/>
      <c r="BA44" s="41"/>
      <c r="BB44" s="41"/>
      <c r="BC44" s="41"/>
      <c r="BD44" s="41"/>
      <c r="BE44" s="41"/>
      <c r="BF44" s="41"/>
      <c r="BG44" s="41"/>
      <c r="BH44" s="41"/>
      <c r="BI44" s="41"/>
      <c r="BJ44" s="41"/>
      <c r="BK44" s="41"/>
      <c r="BL44" s="41"/>
      <c r="BM44" s="41"/>
      <c r="BN44" s="41"/>
      <c r="BO44" s="41"/>
      <c r="BP44" s="41"/>
      <c r="BQ44" s="41"/>
      <c r="BR44" s="41"/>
      <c r="BS44" s="41"/>
      <c r="BT44" s="41"/>
      <c r="BU44" s="41"/>
      <c r="BV44" s="41"/>
      <c r="BW44" s="41"/>
      <c r="BX44" s="41"/>
      <c r="BY44" s="41"/>
      <c r="BZ44" s="41"/>
      <c r="CA44" s="41"/>
      <c r="CB44" s="41"/>
      <c r="CC44" s="41"/>
      <c r="CD44" s="41"/>
      <c r="CE44" s="41"/>
      <c r="CF44" s="41"/>
      <c r="CG44" s="41"/>
      <c r="CH44" s="41"/>
      <c r="CI44" s="41"/>
      <c r="CJ44" s="41"/>
      <c r="CK44" s="41"/>
      <c r="CL44" s="41"/>
      <c r="CM44" s="41"/>
      <c r="CN44" s="41"/>
      <c r="CO44" s="41"/>
      <c r="CP44" s="41"/>
      <c r="CQ44" s="41"/>
      <c r="CR44" s="41"/>
      <c r="CS44" s="41"/>
      <c r="CT44" s="41"/>
      <c r="CU44" s="41"/>
      <c r="CV44" s="41"/>
      <c r="CW44" s="41"/>
      <c r="CX44" s="41"/>
      <c r="CY44" s="41"/>
      <c r="CZ44" s="41"/>
      <c r="DA44" s="41"/>
      <c r="DB44" s="41"/>
      <c r="DC44" s="41"/>
      <c r="DD44" s="41"/>
      <c r="DE44" s="41"/>
      <c r="DF44" s="41"/>
      <c r="DG44" s="41"/>
      <c r="DH44" s="41"/>
      <c r="DI44" s="41"/>
      <c r="DJ44" s="41"/>
      <c r="DK44" s="41"/>
      <c r="DL44" s="41"/>
      <c r="DM44" s="41"/>
      <c r="DN44" s="41"/>
      <c r="DO44" s="41"/>
      <c r="DP44" s="41"/>
      <c r="DQ44" s="41"/>
      <c r="DR44" s="41"/>
      <c r="DS44" s="41"/>
      <c r="DT44" s="41"/>
      <c r="DU44" s="41"/>
      <c r="DV44" s="41"/>
      <c r="DW44" s="41"/>
      <c r="DX44" s="41"/>
      <c r="DY44" s="41"/>
      <c r="DZ44" s="41"/>
      <c r="EA44" s="41"/>
      <c r="EB44" s="41"/>
      <c r="EC44" s="41"/>
      <c r="ED44" s="41"/>
      <c r="EE44" s="41"/>
      <c r="EF44" s="41"/>
      <c r="EG44" s="41"/>
      <c r="EH44" s="41"/>
      <c r="EI44" s="41"/>
      <c r="EJ44" s="41"/>
      <c r="EK44" s="41"/>
    </row>
    <row r="45" spans="1:141" s="42" customFormat="1" ht="21" x14ac:dyDescent="0.25">
      <c r="A45" s="7"/>
      <c r="B45" s="43" t="s">
        <v>0</v>
      </c>
      <c r="C45" s="59"/>
      <c r="D45" s="44"/>
      <c r="E45" s="45"/>
      <c r="F45" s="46"/>
      <c r="G45" s="47"/>
      <c r="H45" s="47" t="str">
        <f>IF(OR(ISBLANK(task_start),ISBLANK(task_end)),"",task_end-task_start+1)</f>
        <v/>
      </c>
      <c r="I45" s="48"/>
      <c r="J45" s="48"/>
      <c r="K45" s="48"/>
      <c r="L45" s="48"/>
      <c r="M45" s="48"/>
      <c r="N45" s="48"/>
      <c r="O45" s="48"/>
      <c r="P45" s="48"/>
      <c r="Q45" s="48"/>
      <c r="R45" s="48"/>
      <c r="S45" s="48"/>
      <c r="T45" s="48"/>
      <c r="U45" s="48"/>
      <c r="V45" s="48"/>
      <c r="W45" s="48"/>
      <c r="X45" s="48"/>
      <c r="Y45" s="48"/>
      <c r="Z45" s="48"/>
      <c r="AA45" s="48"/>
      <c r="AB45" s="48"/>
      <c r="AC45" s="48"/>
      <c r="AD45" s="48"/>
      <c r="AE45" s="48"/>
      <c r="AF45" s="48"/>
      <c r="AG45" s="48"/>
      <c r="AH45" s="48"/>
      <c r="AI45" s="48"/>
      <c r="AJ45" s="48"/>
      <c r="AK45" s="48"/>
      <c r="AL45" s="48"/>
      <c r="AM45" s="48"/>
      <c r="AN45" s="48"/>
      <c r="AO45" s="48"/>
      <c r="AP45" s="48"/>
      <c r="AQ45" s="48"/>
      <c r="AR45" s="48"/>
      <c r="AS45" s="48"/>
      <c r="AT45" s="48"/>
      <c r="AU45" s="48"/>
      <c r="AV45" s="48"/>
      <c r="AW45" s="48"/>
      <c r="AX45" s="48"/>
      <c r="AY45" s="48"/>
      <c r="AZ45" s="48"/>
      <c r="BA45" s="48"/>
      <c r="BB45" s="48"/>
      <c r="BC45" s="48"/>
      <c r="BD45" s="48"/>
      <c r="BE45" s="48"/>
      <c r="BF45" s="48"/>
      <c r="BG45" s="48"/>
      <c r="BH45" s="48"/>
      <c r="BI45" s="48"/>
      <c r="BJ45" s="48"/>
      <c r="BK45" s="48"/>
      <c r="BL45" s="48"/>
      <c r="BM45" s="48"/>
      <c r="BN45" s="48"/>
      <c r="BO45" s="48"/>
      <c r="BP45" s="48"/>
      <c r="BQ45" s="48"/>
      <c r="BR45" s="48"/>
      <c r="BS45" s="48"/>
      <c r="BT45" s="48"/>
      <c r="BU45" s="48"/>
      <c r="BV45" s="48"/>
      <c r="BW45" s="48"/>
      <c r="BX45" s="48"/>
      <c r="BY45" s="48"/>
      <c r="BZ45" s="48"/>
      <c r="CA45" s="48"/>
      <c r="CB45" s="48"/>
      <c r="CC45" s="48"/>
      <c r="CD45" s="48"/>
      <c r="CE45" s="48"/>
      <c r="CF45" s="48"/>
      <c r="CG45" s="48"/>
      <c r="CH45" s="48"/>
      <c r="CI45" s="48"/>
      <c r="CJ45" s="48"/>
      <c r="CK45" s="48"/>
      <c r="CL45" s="48"/>
      <c r="CM45" s="48"/>
      <c r="CN45" s="48"/>
      <c r="CO45" s="48"/>
      <c r="CP45" s="48"/>
      <c r="CQ45" s="48"/>
      <c r="CR45" s="48"/>
      <c r="CS45" s="48"/>
      <c r="CT45" s="48"/>
      <c r="CU45" s="48"/>
      <c r="CV45" s="48"/>
      <c r="CW45" s="48"/>
      <c r="CX45" s="48"/>
      <c r="CY45" s="48"/>
      <c r="CZ45" s="48"/>
      <c r="DA45" s="48"/>
      <c r="DB45" s="48"/>
      <c r="DC45" s="48"/>
      <c r="DD45" s="48"/>
      <c r="DE45" s="48"/>
      <c r="DF45" s="48"/>
      <c r="DG45" s="48"/>
      <c r="DH45" s="48"/>
      <c r="DI45" s="48"/>
      <c r="DJ45" s="48"/>
      <c r="DK45" s="48"/>
      <c r="DL45" s="48"/>
      <c r="DM45" s="48"/>
      <c r="DN45" s="48"/>
      <c r="DO45" s="48"/>
      <c r="DP45" s="48"/>
      <c r="DQ45" s="48"/>
      <c r="DR45" s="48"/>
      <c r="DS45" s="48"/>
      <c r="DT45" s="48"/>
      <c r="DU45" s="48"/>
      <c r="DV45" s="48"/>
      <c r="DW45" s="48"/>
      <c r="DX45" s="48"/>
      <c r="DY45" s="48"/>
      <c r="DZ45" s="48"/>
      <c r="EA45" s="48"/>
      <c r="EB45" s="48"/>
      <c r="EC45" s="48"/>
      <c r="ED45" s="48"/>
      <c r="EE45" s="48"/>
      <c r="EF45" s="48"/>
      <c r="EG45" s="48"/>
      <c r="EH45" s="48"/>
      <c r="EI45" s="48"/>
      <c r="EJ45" s="48"/>
      <c r="EK45" s="48"/>
    </row>
    <row r="46" spans="1:141" ht="21" x14ac:dyDescent="0.25">
      <c r="A46" s="7"/>
      <c r="G46" s="4"/>
    </row>
    <row r="47" spans="1:141" x14ac:dyDescent="0.25">
      <c r="B47" s="6" t="s">
        <v>12</v>
      </c>
      <c r="C47" s="60"/>
      <c r="F47" s="18">
        <v>43113</v>
      </c>
    </row>
    <row r="48" spans="1:141" x14ac:dyDescent="0.25">
      <c r="B48" s="22" t="s">
        <v>16</v>
      </c>
      <c r="C48" s="61"/>
    </row>
    <row r="49" spans="2:2" x14ac:dyDescent="0.25">
      <c r="B49" s="21" t="s">
        <v>23</v>
      </c>
    </row>
  </sheetData>
  <mergeCells count="24">
    <mergeCell ref="EE4:EK4"/>
    <mergeCell ref="CV4:DB4"/>
    <mergeCell ref="DC4:DI4"/>
    <mergeCell ref="DJ4:DP4"/>
    <mergeCell ref="DQ4:DW4"/>
    <mergeCell ref="DX4:ED4"/>
    <mergeCell ref="BM4:BS4"/>
    <mergeCell ref="BT4:BZ4"/>
    <mergeCell ref="CA4:CG4"/>
    <mergeCell ref="CH4:CN4"/>
    <mergeCell ref="CO4:CU4"/>
    <mergeCell ref="J1:AA1"/>
    <mergeCell ref="AK4:AQ4"/>
    <mergeCell ref="AR4:AX4"/>
    <mergeCell ref="AY4:BE4"/>
    <mergeCell ref="B7:G7"/>
    <mergeCell ref="B15:G15"/>
    <mergeCell ref="B21:G21"/>
    <mergeCell ref="B29:G29"/>
    <mergeCell ref="BF4:BL4"/>
    <mergeCell ref="I4:O4"/>
    <mergeCell ref="P4:V4"/>
    <mergeCell ref="W4:AC4"/>
    <mergeCell ref="AD4:AJ4"/>
  </mergeCells>
  <conditionalFormatting sqref="D16:D20 D8:D14 D30:D45 D22:D28">
    <cfRule type="dataBar" priority="46">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EK45">
    <cfRule type="expression" dxfId="2" priority="3">
      <formula>AND(today&gt;=I$5,today&lt;I$5+1)</formula>
    </cfRule>
  </conditionalFormatting>
  <conditionalFormatting sqref="I7:EK45">
    <cfRule type="expression" dxfId="1" priority="1">
      <formula>AND(task_start&lt;=I$5,ROUNDDOWN((task_end-task_start+1)*task_progress,0)+task_start-1&gt;=I$5)</formula>
    </cfRule>
    <cfRule type="expression" dxfId="0" priority="2" stopIfTrue="1">
      <formula>AND(task_end&gt;=I$5,task_start&lt;I$5+1)</formula>
    </cfRule>
  </conditionalFormatting>
  <dataValidations count="1">
    <dataValidation type="whole" operator="greaterThanOrEqual" allowBlank="1" showInputMessage="1" promptTitle="Display Week" prompt="Changing this number will scroll the Gantt Chart view." sqref="E4" xr:uid="{00000000-0002-0000-0000-000000000000}">
      <formula1>1</formula1>
    </dataValidation>
  </dataValidations>
  <hyperlinks>
    <hyperlink ref="B48" r:id="rId1" xr:uid="{00000000-0004-0000-0000-000000000000}"/>
    <hyperlink ref="B47" r:id="rId2" xr:uid="{00000000-0004-0000-0000-000001000000}"/>
  </hyperlinks>
  <pageMargins left="0.35" right="0.35" top="0.35" bottom="0.5" header="0.3" footer="0.3"/>
  <pageSetup scale="62" fitToHeight="0" orientation="landscape" r:id="rId3"/>
  <headerFooter scaleWithDoc="0"/>
  <legacyDrawing r:id="rId4"/>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D16:D20 D8:D14 D30:D45 D22:D28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22"/>
  <sheetViews>
    <sheetView showGridLines="0" zoomScaleNormal="100" workbookViewId="0">
      <selection activeCell="B20" sqref="B20"/>
    </sheetView>
  </sheetViews>
  <sheetFormatPr defaultColWidth="9.140625" defaultRowHeight="12.75" x14ac:dyDescent="0.2"/>
  <cols>
    <col min="1" max="1" width="2.85546875" style="1" customWidth="1"/>
    <col min="2" max="2" width="87.140625" style="8" customWidth="1"/>
    <col min="3" max="16384" width="9.140625" style="1"/>
  </cols>
  <sheetData>
    <row r="1" spans="2:3" ht="46.5" customHeight="1" x14ac:dyDescent="0.2"/>
    <row r="2" spans="2:3" s="10" customFormat="1" ht="15.75" x14ac:dyDescent="0.25">
      <c r="B2" s="9" t="s">
        <v>12</v>
      </c>
      <c r="C2" s="9"/>
    </row>
    <row r="3" spans="2:3" s="12" customFormat="1" ht="13.5" customHeight="1" x14ac:dyDescent="0.25">
      <c r="B3" s="11" t="s">
        <v>16</v>
      </c>
      <c r="C3" s="11"/>
    </row>
    <row r="4" spans="2:3" x14ac:dyDescent="0.2">
      <c r="B4" s="20" t="s">
        <v>23</v>
      </c>
    </row>
    <row r="6" spans="2:3" s="13" customFormat="1" ht="26.25" x14ac:dyDescent="0.4">
      <c r="B6" s="15" t="s">
        <v>11</v>
      </c>
    </row>
    <row r="7" spans="2:3" ht="60" x14ac:dyDescent="0.2">
      <c r="B7" s="16" t="s">
        <v>19</v>
      </c>
    </row>
    <row r="8" spans="2:3" ht="15" x14ac:dyDescent="0.2">
      <c r="B8" s="14"/>
    </row>
    <row r="9" spans="2:3" s="13" customFormat="1" ht="26.25" x14ac:dyDescent="0.4">
      <c r="B9" s="15" t="s">
        <v>13</v>
      </c>
    </row>
    <row r="10" spans="2:3" ht="60" x14ac:dyDescent="0.2">
      <c r="B10" s="16" t="s">
        <v>20</v>
      </c>
    </row>
    <row r="11" spans="2:3" ht="14.25" x14ac:dyDescent="0.2">
      <c r="B11" s="17" t="s">
        <v>18</v>
      </c>
    </row>
    <row r="12" spans="2:3" ht="15" x14ac:dyDescent="0.2">
      <c r="B12" s="14"/>
    </row>
    <row r="13" spans="2:3" ht="14.25" x14ac:dyDescent="0.2">
      <c r="B13" s="23" t="str">
        <f>HYPERLINK("https://vertex42.link/HowToMakeAGanttChart","► Watch How This Gantt Chart Was Created")</f>
        <v>► Watch How This Gantt Chart Was Created</v>
      </c>
    </row>
    <row r="14" spans="2:3" ht="15" x14ac:dyDescent="0.2">
      <c r="B14" s="14"/>
    </row>
    <row r="15" spans="2:3" s="13" customFormat="1" ht="26.25" x14ac:dyDescent="0.4">
      <c r="B15" s="15" t="s">
        <v>10</v>
      </c>
    </row>
    <row r="16" spans="2:3" ht="30" x14ac:dyDescent="0.2">
      <c r="B16" s="16" t="s">
        <v>17</v>
      </c>
    </row>
    <row r="17" spans="2:2" ht="14.25" x14ac:dyDescent="0.2">
      <c r="B17" s="17" t="s">
        <v>4</v>
      </c>
    </row>
    <row r="18" spans="2:2" ht="15" x14ac:dyDescent="0.2">
      <c r="B18" s="14"/>
    </row>
    <row r="19" spans="2:2" s="13" customFormat="1" ht="26.25" x14ac:dyDescent="0.4">
      <c r="B19" s="15" t="s">
        <v>14</v>
      </c>
    </row>
    <row r="20" spans="2:2" ht="60" x14ac:dyDescent="0.2">
      <c r="B20" s="16" t="s">
        <v>24</v>
      </c>
    </row>
    <row r="21" spans="2:2" ht="15" x14ac:dyDescent="0.2">
      <c r="B21" s="14"/>
    </row>
    <row r="22" spans="2:2" ht="75" x14ac:dyDescent="0.2">
      <c r="B22" s="16" t="s">
        <v>15</v>
      </c>
    </row>
  </sheetData>
  <hyperlinks>
    <hyperlink ref="B17" r:id="rId1" xr:uid="{00000000-0004-0000-0100-000000000000}"/>
    <hyperlink ref="B11" r:id="rId2" xr:uid="{00000000-0004-0000-0100-000001000000}"/>
    <hyperlink ref="B3" r:id="rId3" xr:uid="{00000000-0004-0000-0100-000002000000}"/>
    <hyperlink ref="B2" r:id="rId4" xr:uid="{00000000-0004-0000-0100-000003000000}"/>
  </hyperlinks>
  <pageMargins left="0.5" right="0.5" top="0.5" bottom="0.5" header="0.3" footer="0.3"/>
  <pageSetup orientation="portrait" r:id="rId5"/>
  <drawing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Gantt Chart</vt:lpstr>
      <vt:lpstr>About</vt:lpstr>
      <vt:lpstr>'Gantt Chart'!Print_Area</vt:lpstr>
      <vt:lpstr>'Gantt Chart'!Print_Titles</vt:lpstr>
      <vt:lpstr>'Gantt Chart'!task_end</vt:lpstr>
      <vt:lpstr>'Gantt Chart'!task_progress</vt:lpstr>
      <vt:lpstr>'Gantt Chart'!task_start</vt:lpstr>
      <vt:lpstr>'Gantt Chart'!today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Simple Gantt Chart (AI Assisted)</dc:title>
  <dc:creator>Vertex42.com</dc:creator>
  <dc:description>© 2018-2025 Vertex42 LLC. All Rights Reserved.</dc:description>
  <cp:lastModifiedBy>HP</cp:lastModifiedBy>
  <cp:lastPrinted>2019-04-24T14:39:40Z</cp:lastPrinted>
  <dcterms:created xsi:type="dcterms:W3CDTF">2017-01-09T18:01:51Z</dcterms:created>
  <dcterms:modified xsi:type="dcterms:W3CDTF">2026-05-04T07:09:51Z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ource">
    <vt:lpwstr>https://www.vertex42.com/</vt:lpwstr>
  </property>
  <property fmtid="{D5CDD505-2E9C-101B-9397-08002B2CF9AE}" pid="3" name="Copyright">
    <vt:lpwstr>© 2019-2025 Vertex42 LLC</vt:lpwstr>
  </property>
  <property fmtid="{D5CDD505-2E9C-101B-9397-08002B2CF9AE}" pid="4" name="Version">
    <vt:lpwstr>1.0.0</vt:lpwstr>
  </property>
</Properties>
</file>